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Summary" sheetId="2" state="visible" r:id="rId4"/>
    <sheet name="Assumptions" sheetId="3" state="visible" r:id="rId5"/>
    <sheet name="AI Unit Costs" sheetId="4" state="visible" r:id="rId6"/>
    <sheet name="Model_Conservative" sheetId="5" state="visible" r:id="rId7"/>
    <sheet name="Model_Base" sheetId="6" state="visible" r:id="rId8"/>
    <sheet name="Model_Upside" sheetId="7" state="visible" r:id="rId9"/>
    <sheet name="Benchmarks" sheetId="8" state="visible" r:id="rId10"/>
    <sheet name="Kill-Continue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<sst xmlns="http://schemas.openxmlformats.org/spreadsheetml/2006/main" count="368" uniqueCount="278">
  <si>
    <t xml:space="preserve">MuddleAndMix — 12-month financial model</t>
  </si>
  <si>
    <t xml:space="preserve">Prepared 2026-10-12 for Richard Bailey. All forward-looking numbers are ASSUMPTIONS / ESTIMATES, not data.</t>
  </si>
  <si>
    <t xml:space="preserve">Yellow cells on 'Assumptions' and 'AI Unit Costs' are inputs. Everything else is formula-driven.</t>
  </si>
  <si>
    <t xml:space="preserve">Three scenario tabs (Model_Conservative / Model_Base / Model_Upside) use the same formulas with different input columns.</t>
  </si>
  <si>
    <t xml:space="preserve">Sourced facts (API prices, competitor prices) are on 'Benchmarks' with links. Assumptions with no source are labeled 'Assumption'.</t>
  </si>
  <si>
    <t xml:space="preserve">Richard's time is NOT costed. Taxes, LLC formation, and legal review are NOT included.</t>
  </si>
  <si>
    <t xml:space="preserve">The model asks one question: can this cover its own costs and show paying demand within 12 months? It is not a valuation.</t>
  </si>
  <si>
    <t xml:space="preserve">Scenario summary (formula links)</t>
  </si>
  <si>
    <t xml:space="preserve">Metric</t>
  </si>
  <si>
    <t xml:space="preserve">Conservative</t>
  </si>
  <si>
    <t xml:space="preserve">Base</t>
  </si>
  <si>
    <t xml:space="preserve">Upside</t>
  </si>
  <si>
    <t xml:space="preserve">Month-12 active users</t>
  </si>
  <si>
    <t xml:space="preserve">Month-12 Home Pro paying users</t>
  </si>
  <si>
    <t xml:space="preserve">Month-12 Host/Pro accounts</t>
  </si>
  <si>
    <t xml:space="preserve">Month-12 MRR (total revenue in M12)</t>
  </si>
  <si>
    <t xml:space="preserve">12-month revenue</t>
  </si>
  <si>
    <t xml:space="preserve">12-month costs</t>
  </si>
  <si>
    <t xml:space="preserve">12-month net</t>
  </si>
  <si>
    <t xml:space="preserve">12-month AI cost</t>
  </si>
  <si>
    <t xml:space="preserve">Read: even the upside case is a side-income business in year 1, not a salary. The model's job is to show if paying demand appears cheaply.</t>
  </si>
  <si>
    <t xml:space="preserve">Inputs by scenario (yellow = editable)</t>
  </si>
  <si>
    <t xml:space="preserve">Key</t>
  </si>
  <si>
    <t xml:space="preserve">Assumption</t>
  </si>
  <si>
    <t xml:space="preserve">Unit</t>
  </si>
  <si>
    <t xml:space="preserve">Basis / source</t>
  </si>
  <si>
    <t xml:space="preserve">visitors_m1</t>
  </si>
  <si>
    <t xml:space="preserve">Month-1 unique visitors to site</t>
  </si>
  <si>
    <t xml:space="preserve">visitors</t>
  </si>
  <si>
    <t xml:space="preserve">Assumption. Organic only: Reddit/forums posts, SEO pages, friends. No ad data yet.</t>
  </si>
  <si>
    <t xml:space="preserve">visitor_growth</t>
  </si>
  <si>
    <t xml:space="preserve">Monthly visitor growth</t>
  </si>
  <si>
    <t xml:space="preserve">%/mo</t>
  </si>
  <si>
    <t xml:space="preserve">Assumption. Content/SEO compounding; heavily dependent on Richard's posting cadence.</t>
  </si>
  <si>
    <t xml:space="preserve">signup_rate</t>
  </si>
  <si>
    <t xml:space="preserve">Visitor → Google sign-up conversion</t>
  </si>
  <si>
    <t xml:space="preserve">%</t>
  </si>
  <si>
    <t xml:space="preserve">Assumption. Free product + one-click Google sign-in; landing pages typically convert single digits.</t>
  </si>
  <si>
    <t xml:space="preserve">retention</t>
  </si>
  <si>
    <t xml:space="preserve">Month-over-month retention of active users</t>
  </si>
  <si>
    <t xml:space="preserve">Assumption. Hobby utilities are used episodically (parties, new bottles).</t>
  </si>
  <si>
    <t xml:space="preserve">paid_rate</t>
  </si>
  <si>
    <t xml:space="preserve">Share of active home users paying (Home Pro)</t>
  </si>
  <si>
    <t xml:space="preserve">Assumption. Freemium consumer apps commonly land low single digits.</t>
  </si>
  <si>
    <t xml:space="preserve">arppu</t>
  </si>
  <si>
    <t xml:space="preserve">Home Pro blended revenue per paying user</t>
  </si>
  <si>
    <t xml:space="preserve">$/mo</t>
  </si>
  <si>
    <t xml:space="preserve">Assumption. $24.99/yr = $2.08/mo; $3.99/mo monthly. Mix of annual/monthly.</t>
  </si>
  <si>
    <t xml:space="preserve">host_launch</t>
  </si>
  <si>
    <t xml:space="preserve">Month Host/Pro tier launches</t>
  </si>
  <si>
    <t xml:space="preserve">month #</t>
  </si>
  <si>
    <t xml:space="preserve">Plan. Only after home tier proves engagement.</t>
  </si>
  <si>
    <t xml:space="preserve">host_new</t>
  </si>
  <si>
    <t xml:space="preserve">New Host/Pro accounts per month after launch</t>
  </si>
  <si>
    <t xml:space="preserve">accts/mo</t>
  </si>
  <si>
    <t xml:space="preserve">Assumption. Direct outreach to mobile bartenders / small cocktail venues.</t>
  </si>
  <si>
    <t xml:space="preserve">host_churn</t>
  </si>
  <si>
    <t xml:space="preserve">Host/Pro monthly churn</t>
  </si>
  <si>
    <t xml:space="preserve">Assumption. Small-business SaaS churn is higher than enterprise.</t>
  </si>
  <si>
    <t xml:space="preserve">host_price</t>
  </si>
  <si>
    <t xml:space="preserve">Host/Pro price</t>
  </si>
  <si>
    <t xml:space="preserve">Plan. Below Baraxis $29/mo and Backbar Essential $79/mo (see Benchmarks).</t>
  </si>
  <si>
    <t xml:space="preserve">aff_rev</t>
  </si>
  <si>
    <t xml:space="preserve">Affiliate revenue per active user</t>
  </si>
  <si>
    <t xml:space="preserve">Speculative. ReserveBar affiliate reported ~4%, 30-day cookie (third-party listings).</t>
  </si>
  <si>
    <t xml:space="preserve">ai_user</t>
  </si>
  <si>
    <t xml:space="preserve">AI cost per active home user</t>
  </si>
  <si>
    <t xml:space="preserve">Estimate: 'AI Unit Costs' tab computes ≈$0.19; base adds ~40% buffer for retries/long pages. Conservative = heavier use; Upside = move some calls to gpt-4o-mini.</t>
  </si>
  <si>
    <t xml:space="preserve">ai_host</t>
  </si>
  <si>
    <t xml:space="preserve">AI cost per Host/Pro account</t>
  </si>
  <si>
    <t xml:space="preserve">Assumption. Pros import/scan far more.</t>
  </si>
  <si>
    <t xml:space="preserve">infra</t>
  </si>
  <si>
    <t xml:space="preserve">Hosting (Cloud Run + Neon + misc)</t>
  </si>
  <si>
    <t xml:space="preserve">Estimate. Cloud Run &amp; Neon free tiers likely cover early usage; conservative assumes a paid DB plan.</t>
  </si>
  <si>
    <t xml:space="preserve">domain</t>
  </si>
  <si>
    <t xml:space="preserve">Domain renewal (.bar)</t>
  </si>
  <si>
    <t xml:space="preserve">$/yr</t>
  </si>
  <si>
    <t xml:space="preserve">PLACEHOLDER — Richard to confirm actual renewal price.</t>
  </si>
  <si>
    <t xml:space="preserve">data_api</t>
  </si>
  <si>
    <t xml:space="preserve">Barcode/UPC data API</t>
  </si>
  <si>
    <t xml:space="preserve">UPCitemdb free tier = 100 req/day shared. Paid plan price not captured; set when needed.</t>
  </si>
  <si>
    <t xml:space="preserve">marketing</t>
  </si>
  <si>
    <t xml:space="preserve">Paid marketing / experiments</t>
  </si>
  <si>
    <t xml:space="preserve">Plan. Small capped tests only; must target 21+.</t>
  </si>
  <si>
    <t xml:space="preserve">pay_fee</t>
  </si>
  <si>
    <t xml:space="preserve">Effective payment fees (Stripe)</t>
  </si>
  <si>
    <t xml:space="preserve">% of rev</t>
  </si>
  <si>
    <t xml:space="preserve">Stripe 2.9% + $0.30; $0.30 on a $3.99 charge ≈ 7.5% extra, on $24.99 ≈ 1.2%.</t>
  </si>
  <si>
    <t xml:space="preserve">AI cost per action (estimate) — model names taken from server/routes.ts</t>
  </si>
  <si>
    <t xml:space="preserve">Prices: OpenAI gpt-4o $2.50/M input, $10/M output; gpt-4o-mini $0.15/M input, $0.60/M output (developers.openai.com). Token counts are ESTIMATES.</t>
  </si>
  <si>
    <t xml:space="preserve">Action (endpoint)</t>
  </si>
  <si>
    <t xml:space="preserve">Model</t>
  </si>
  <si>
    <t xml:space="preserve">Input tokens (est.)</t>
  </si>
  <si>
    <t xml:space="preserve">Output tokens (est.)</t>
  </si>
  <si>
    <t xml:space="preserve">$/M in</t>
  </si>
  <si>
    <t xml:space="preserve">$/M out</t>
  </si>
  <si>
    <t xml:space="preserve">Cost per action</t>
  </si>
  <si>
    <t xml:space="preserve">Uses / active user / mo (assumption)</t>
  </si>
  <si>
    <t xml:space="preserve">Cost / user / mo</t>
  </si>
  <si>
    <t xml:space="preserve">Bottle photo scan (/bottles/scan)</t>
  </si>
  <si>
    <t xml:space="preserve">gpt-4o</t>
  </si>
  <si>
    <t xml:space="preserve">UPC lookup + normalize (/bottles/upc-lookup)</t>
  </si>
  <si>
    <t xml:space="preserve">gpt-4o-mini</t>
  </si>
  <si>
    <t xml:space="preserve">Recipe import from URL (/recipes/parse-url, page text capped 15k chars)</t>
  </si>
  <si>
    <t xml:space="preserve">Recipe import from pasted text (/recipes/parse-text)</t>
  </si>
  <si>
    <t xml:space="preserve">Recipe photo scan (/recipes/scan)</t>
  </si>
  <si>
    <t xml:space="preserve">Discover 60 names (/recipes/discover)</t>
  </si>
  <si>
    <t xml:space="preserve">Import 10 named recipes (/recipes/import-names)</t>
  </si>
  <si>
    <t xml:space="preserve">Estimated AI cost per active home user per month (base)</t>
  </si>
  <si>
    <t xml:space="preserve">Same usage if every gpt-4o call moved to gpt-4o-mini (≈16x cheaper per token):</t>
  </si>
  <si>
    <t xml:space="preserve">Guardrail suggestion: free tier capped at ~10 AI actions/month → worst-case free-user AI cost ≈ 10 × most expensive action:</t>
  </si>
  <si>
    <t xml:space="preserve">Conservative scenario — 12 months (all values are estimates driven by 'Assumptions'!C)</t>
  </si>
  <si>
    <t xml:space="preserve">Line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</si>
  <si>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</si>
  <si>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</si>
  <si>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</si>
  <si>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</si>
  <si>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</si>
  <si>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</si>
  <si>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</si>
  <si>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</si>
  <si>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</si>
  <si>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</si>
  <si>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</si>
  <si>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</si>
  <si>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Total / M12</t>
  </si>
  <si>
    <t xml:space="preserve">Visitors</t>
  </si>
  <si>
    <t xml:space="preserve">New sign-ups</t>
  </si>
  <si>
    <t xml:space="preserve">Active users</t>
  </si>
  <si>
    <t xml:space="preserve">Home Pro paying users</t>
  </si>
  <si>
    <t xml:space="preserve">Home Pro revenue</t>
  </si>
  <si>
    <t xml:space="preserve">Host/Pro accounts</t>
  </si>
  <si>
    <t xml:space="preserve">Host/Pro revenue</t>
  </si>
  <si>
    <t xml:space="preserve">Affiliate revenue</t>
  </si>
  <si>
    <t xml:space="preserve">TOTAL REVENUE</t>
  </si>
  <si>
    <t xml:space="preserve">Payment fees</t>
  </si>
  <si>
    <t xml:space="preserve">AI cost</t>
  </si>
  <si>
    <t xml:space="preserve">Hosting + domain + data</t>
  </si>
  <si>
    <t xml:space="preserve">Marketing</t>
  </si>
  <si>
    <t xml:space="preserve">TOTAL COSTS</t>
  </si>
  <si>
    <t xml:space="preserve">NET (monthly)</t>
  </si>
  <si>
    <t xml:space="preserve">Cumulative net</t>
  </si>
  <si>
    <t xml:space="preserve">Blended paid CAC (marketing ÷ new sign-ups)</t>
  </si>
  <si>
    <t xml:space="preserve">Total column = 12-month sum for flows; month-12 value for stocks (users, accounts, cumulative net).</t>
  </si>
  <si>
    <t xml:space="preserve">Base scenario — 12 months (all values are estimates driven by 'Assumptions'!D)</t>
  </si>
  <si>
    <t xml:space="preserve">Upside scenario — 12 months (all values are estimates driven by 'Assumptions'!E)</t>
  </si>
  <si>
    <t xml:space="preserve">Competitor &amp; cost benchmarks (verified via web search 2026-10-12; prices change — re-check before quoting)</t>
  </si>
  <si>
    <t xml:space="preserve">Name</t>
  </si>
  <si>
    <t xml:space="preserve">Segment</t>
  </si>
  <si>
    <t xml:space="preserve">Pricing found</t>
  </si>
  <si>
    <t xml:space="preserve">Source</t>
  </si>
  <si>
    <t xml:space="preserve">Mixel</t>
  </si>
  <si>
    <t xml:space="preserve">Home (iOS)</t>
  </si>
  <si>
    <t xml:space="preserve">Free; Premium $1.99/mo or $14.99/yr; lifetime $49.99; recipe packs $0.99–$3.99</t>
  </si>
  <si>
    <t xml:space="preserve">https://apps.apple.com/us/app/mixel-cocktail-recipes/id1280464759</t>
  </si>
  <si>
    <t xml:space="preserve">Mixel (revenue estimate)</t>
  </si>
  <si>
    <t xml:space="preserve">Home</t>
  </si>
  <si>
    <t xml:space="preserve">~$7K est. monthly revenue, &lt;1K monthly downloads (third-party estimate, not official)</t>
  </si>
  <si>
    <t xml:space="preserve">https://adapty.io/paywall-library/mixel/</t>
  </si>
  <si>
    <t xml:space="preserve">Cocktail Party</t>
  </si>
  <si>
    <t xml:space="preserve">Reported $4.99 one-time (one review site); another source says $2.99/mo — conflicting</t>
  </si>
  <si>
    <t xml:space="preserve">https://appviewable.com/apps/app-cocktail-party-drink-recipes-ingredient-library/</t>
  </si>
  <si>
    <t xml:space="preserve">Highball (Studio Neat)</t>
  </si>
  <si>
    <t xml:space="preserve">Home recipe cards (iOS)</t>
  </si>
  <si>
    <t xml:space="preserve">Free; optional tips $0.99–$9.99; marketing for physical products</t>
  </si>
  <si>
    <t xml:space="preserve">https://apps.apple.com/us/app/highball-by-studio-neat/id973319934</t>
  </si>
  <si>
    <t xml:space="preserve">Cocktail Flow</t>
  </si>
  <si>
    <t xml:space="preserve">Premium from $4.99/mo or $24.99/yr</t>
  </si>
  <si>
    <t xml:space="preserve">https://apps.apple.com/us/app/cocktail-flow-drink-recipes/id486811622</t>
  </si>
  <si>
    <t xml:space="preserve">Home Bar Hero</t>
  </si>
  <si>
    <t xml:space="preserve">Home (web/app, AI scan)</t>
  </si>
  <si>
    <t xml:space="preserve">Free core; Top Shelf $2.99/mo, $24.99/yr; lifetime listed $49.99 on one page, $99.99 on pricing page</t>
  </si>
  <si>
    <t xml:space="preserve">https://homebarhero.ai/pricing/</t>
  </si>
  <si>
    <t xml:space="preserve">BottleSnaps</t>
  </si>
  <si>
    <t xml:space="preserve">Home (web PWA, AI scan)</t>
  </si>
  <si>
    <t xml:space="preserve">Free (3 AI scans/mo, 10 bottles); Home Bar $6/mo</t>
  </si>
  <si>
    <t xml:space="preserve">https://bottlesnaps.com/</t>
  </si>
  <si>
    <t xml:space="preserve">Elixiary</t>
  </si>
  <si>
    <t xml:space="preserve">Home (AI)</t>
  </si>
  <si>
    <t xml:space="preserve">Free 3-bottle demo; Curious €3, Apprentice €5.50, Bartender €11, Mixologist €25 per month</t>
  </si>
  <si>
    <t xml:space="preserve">https://elixiary.com/pricing</t>
  </si>
  <si>
    <t xml:space="preserve">BarShelf</t>
  </si>
  <si>
    <t xml:space="preserve">Home (iOS, AI)</t>
  </si>
  <si>
    <t xml:space="preserve">Free ≤10 bottles; Pro $3.99/mo or $39.99/yr</t>
  </si>
  <si>
    <t xml:space="preserve">https://apps.apple.com/us/app/barshelf-home-bar-ai/id6754469129</t>
  </si>
  <si>
    <t xml:space="preserve">Bar Assistant</t>
  </si>
  <si>
    <t xml:space="preserve">Home/pro (open source, self-host)</t>
  </si>
  <si>
    <t xml:space="preserve">Free self-hosted (MIT)</t>
  </si>
  <si>
    <t xml:space="preserve">https://github.com/karlomikus/bar-assistant</t>
  </si>
  <si>
    <t xml:space="preserve">Barsys</t>
  </si>
  <si>
    <t xml:space="preserve">Hardware + app</t>
  </si>
  <si>
    <t xml:space="preserve">Barsys 360 machine $375; app free</t>
  </si>
  <si>
    <t xml:space="preserve">https://360.barsys.com/</t>
  </si>
  <si>
    <t xml:space="preserve">Backbar</t>
  </si>
  <si>
    <t xml:space="preserve">Bar/restaurant inventory</t>
  </si>
  <si>
    <t xml:space="preserve">Basic $0 (1 location, 10 recipes); Essential $79/mo annual ($99 monthly); Professional $129/$149</t>
  </si>
  <si>
    <t xml:space="preserve">https://www.getbackbar.com/pricing</t>
  </si>
  <si>
    <t xml:space="preserve">Partender</t>
  </si>
  <si>
    <t xml:space="preserve">Bar inventory</t>
  </si>
  <si>
    <t xml:space="preserve">Pro $299/mo monthly or $199/mo annual; Enterprise quote</t>
  </si>
  <si>
    <t xml:space="preserve">https://getpulsesignal.com/pricing/partender</t>
  </si>
  <si>
    <t xml:space="preserve">WISK</t>
  </si>
  <si>
    <t xml:space="preserve">Bar/hotel inventory</t>
  </si>
  <si>
    <t xml:space="preserve">Beverage $249/mo per venue + $750 setup; multi-outlet $499–$1,250/mo</t>
  </si>
  <si>
    <t xml:space="preserve">https://www.wisk.ai/price</t>
  </si>
  <si>
    <t xml:space="preserve">BinWise</t>
  </si>
  <si>
    <t xml:space="preserve">Bar/wine inventory</t>
  </si>
  <si>
    <t xml:space="preserve">Quote only (not published)</t>
  </si>
  <si>
    <t xml:space="preserve">https://www.softwareadvice.com/product/452785-BinWise/</t>
  </si>
  <si>
    <t xml:space="preserve">Sculpture Hospitality</t>
  </si>
  <si>
    <t xml:space="preserve">Inventory + consultants (franchise)</t>
  </si>
  <si>
    <t xml:space="preserve">Self-service software $199/mo + setup; full-service custom</t>
  </si>
  <si>
    <t xml:space="preserve">https://www.sculpturehospitality.com/sculpture-hospitality-pricing</t>
  </si>
  <si>
    <t xml:space="preserve">Bevager</t>
  </si>
  <si>
    <t xml:space="preserve">Bar back-office</t>
  </si>
  <si>
    <t xml:space="preserve">From $99.99/user/mo (Capterra/GetApp listing)</t>
  </si>
  <si>
    <t xml:space="preserve">https://www.capterra.com/p/167143/Bevager/</t>
  </si>
  <si>
    <t xml:space="preserve">PourIQ</t>
  </si>
  <si>
    <t xml:space="preserve">$75/mo per location</t>
  </si>
  <si>
    <t xml:space="preserve">https://mypouriq.com/blog/pouriq-vs-partender/</t>
  </si>
  <si>
    <t xml:space="preserve">Baraxis</t>
  </si>
  <si>
    <t xml:space="preserve">Mobile bartending businesses</t>
  </si>
  <si>
    <t xml:space="preserve">$29/mo or $199/yr</t>
  </si>
  <si>
    <t xml:space="preserve">https://www.baraxis.io/pricing</t>
  </si>
  <si>
    <t xml:space="preserve">EventPro Bartender</t>
  </si>
  <si>
    <t xml:space="preserve">Price not captured from homepage</t>
  </si>
  <si>
    <t xml:space="preserve">https://www.eventprobartender.com/</t>
  </si>
  <si>
    <t xml:space="preserve">OpenAI gpt-4o</t>
  </si>
  <si>
    <t xml:space="preserve">Cost input</t>
  </si>
  <si>
    <t xml:space="preserve">$2.50/M input, $10/M output tokens</t>
  </si>
  <si>
    <t xml:space="preserve">https://developers.openai.com/api/docs/models/gpt-4o</t>
  </si>
  <si>
    <t xml:space="preserve">OpenAI gpt-4o-mini</t>
  </si>
  <si>
    <t xml:space="preserve">$0.15/M input, $0.60/M output tokens</t>
  </si>
  <si>
    <t xml:space="preserve">https://developers.openai.com/api/docs/models/gpt-4o-mini</t>
  </si>
  <si>
    <t xml:space="preserve">Neon Free</t>
  </si>
  <si>
    <t xml:space="preserve">$0: 100 CU-hours/project/mo, 1 GB storage per project (20 GB account cap), scale-to-zero</t>
  </si>
  <si>
    <t xml:space="preserve">https://neon.com/docs/introduction/plans</t>
  </si>
  <si>
    <t xml:space="preserve">Cloud Run free tier</t>
  </si>
  <si>
    <t xml:space="preserve">2M requests, 180k vCPU-s, 360k GiB-s per month (request-based billing)</t>
  </si>
  <si>
    <t xml:space="preserve">https://cloud.google.com/run/pricing</t>
  </si>
  <si>
    <t xml:space="preserve">UPCitemdb free</t>
  </si>
  <si>
    <t xml:space="preserve">Dependency</t>
  </si>
  <si>
    <t xml:space="preserve">100 requests/day, 6/min burst, no key</t>
  </si>
  <si>
    <t xml:space="preserve">https://www.upcitemdb.com/wp/docs/main/development/plan/</t>
  </si>
  <si>
    <t xml:space="preserve">Stripe</t>
  </si>
  <si>
    <t xml:space="preserve">Payments</t>
  </si>
  <si>
    <t xml:space="preserve">2.9% + $0.30 per US card charge</t>
  </si>
  <si>
    <t xml:space="preserve">https://stripe.com/pricing</t>
  </si>
  <si>
    <t xml:space="preserve">Apple Small Business Program</t>
  </si>
  <si>
    <t xml:space="preserve">Payments (if native iOS)</t>
  </si>
  <si>
    <t xml:space="preserve">15% commission under $1M proceeds</t>
  </si>
  <si>
    <t xml:space="preserve">https://developer.apple.com/app-store/small-business-program/</t>
  </si>
  <si>
    <t xml:space="preserve">Decision gates (fill in actuals)</t>
  </si>
  <si>
    <t xml:space="preserve">Gate (date)</t>
  </si>
  <si>
    <t xml:space="preserve">Continue if ≥</t>
  </si>
  <si>
    <t xml:space="preserve">Kill / pivot if &lt;</t>
  </si>
  <si>
    <t xml:space="preserve">Actual</t>
  </si>
  <si>
    <t xml:space="preserve">Decision</t>
  </si>
  <si>
    <t xml:space="preserve">Day 30 (2026-11-11)</t>
  </si>
  <si>
    <t xml:space="preserve">Strangers who signed up and added ≥5 bottles</t>
  </si>
  <si>
    <t xml:space="preserve">Day 30</t>
  </si>
  <si>
    <t xml:space="preserve">Party menus shared to guests (guest link opened)</t>
  </si>
  <si>
    <t xml:space="preserve">Day 60 (2026-12-11)</t>
  </si>
  <si>
    <t xml:space="preserve">Week-4 retention of Day-1–30 cohort</t>
  </si>
  <si>
    <t xml:space="preserve">20%</t>
  </si>
  <si>
    <t xml:space="preserve">10%</t>
  </si>
  <si>
    <t xml:space="preserve">Day 60</t>
  </si>
  <si>
    <t xml:space="preserve">Pre-orders / paid Home Pro (any price)</t>
  </si>
  <si>
    <t xml:space="preserve">Day 90 (2027-01-10)</t>
  </si>
  <si>
    <t xml:space="preserve">Paying Host/Pro pilots (mobile bartenders / small venues)</t>
  </si>
  <si>
    <t xml:space="preserve">Day 90</t>
  </si>
  <si>
    <t xml:space="preserve">MRR (all sources)</t>
  </si>
  <si>
    <t xml:space="preserve">$100</t>
  </si>
  <si>
    <t xml:space="preserve">$25</t>
  </si>
  <si>
    <t xml:space="preserve">Ongoing</t>
  </si>
  <si>
    <t xml:space="preserve">AI + hosting cost as % of revenue (once revenue &gt; $0)</t>
  </si>
  <si>
    <t xml:space="preserve">&lt; 30%</t>
  </si>
  <si>
    <t xml:space="preserve">&gt; 60%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</si>
</sst>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.0"/>
    <numFmt numFmtId="166" formatCode="\$#,##0"/>
    <numFmt numFmtId="167" formatCode="0.0%"/>
    <numFmt numFmtId="168" formatCode="\$#,##0.00"/>
    <numFmt numFmtId="169" formatCode="\$0.0000"/>
    <numFmt numFmtId="170" formatCode="\$0.00"/>
    <numFmt numFmtId="171" formatCode="\$0.000"/>
    <numFmt numFmtId="172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D4A84B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i val="true"/>
      <sz val="9"/>
      <color rgb="FF666666"/>
      <name val="Cambria"/>
      <family val="0"/>
      <charset val="1"/>
    </font>
    <font>
      <b val="true"/>
      <sz val="11"/>
      <name val="Cambria"/>
      <family val="0"/>
      <charset val="1"/>
    </font>
    <font>
      <sz val="11"/>
      <name val="Cambria"/>
      <family val="0"/>
      <charset val="1"/>
    </font>
    <font>
      <u val="single"/>
      <sz val="11"/>
      <color rgb="FF1F5FB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B3245"/>
        <bgColor rgb="FF333300"/>
      </patternFill>
    </fill>
    <fill>
      <patternFill patternType="solid">
        <fgColor rgb="FFFFF4D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4D6"/>
      <rgbColor rgb="FFCCFFFF"/>
      <rgbColor rgb="FF660066"/>
      <rgbColor rgb="FFFF8080"/>
      <rgbColor rgb="FF1F5FBF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D4A84B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B324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s://apps.apple.com/us/app/mixel-cocktail-recipes/id1280464759" TargetMode="External"/><Relationship Id="rId2" Type="http://schemas.openxmlformats.org/officeDocument/2006/relationships/hyperlink" Target="https://adapty.io/paywall-library/mixel/" TargetMode="External"/><Relationship Id="rId3" Type="http://schemas.openxmlformats.org/officeDocument/2006/relationships/hyperlink" Target="https://appviewable.com/apps/app-cocktail-party-drink-recipes-ingredient-library/" TargetMode="External"/><Relationship Id="rId4" Type="http://schemas.openxmlformats.org/officeDocument/2006/relationships/hyperlink" Target="https://apps.apple.com/us/app/highball-by-studio-neat/id973319934" TargetMode="External"/><Relationship Id="rId5" Type="http://schemas.openxmlformats.org/officeDocument/2006/relationships/hyperlink" Target="https://apps.apple.com/us/app/cocktail-flow-drink-recipes/id486811622" TargetMode="External"/><Relationship Id="rId6" Type="http://schemas.openxmlformats.org/officeDocument/2006/relationships/hyperlink" Target="https://homebarhero.ai/pricing/" TargetMode="External"/><Relationship Id="rId7" Type="http://schemas.openxmlformats.org/officeDocument/2006/relationships/hyperlink" Target="https://bottlesnaps.com/" TargetMode="External"/><Relationship Id="rId8" Type="http://schemas.openxmlformats.org/officeDocument/2006/relationships/hyperlink" Target="https://elixiary.com/pricing" TargetMode="External"/><Relationship Id="rId9" Type="http://schemas.openxmlformats.org/officeDocument/2006/relationships/hyperlink" Target="https://apps.apple.com/us/app/barshelf-home-bar-ai/id6754469129" TargetMode="External"/><Relationship Id="rId10" Type="http://schemas.openxmlformats.org/officeDocument/2006/relationships/hyperlink" Target="https://github.com/karlomikus/bar-assistant" TargetMode="External"/><Relationship Id="rId11" Type="http://schemas.openxmlformats.org/officeDocument/2006/relationships/hyperlink" Target="https://360.barsys.com/" TargetMode="External"/><Relationship Id="rId12" Type="http://schemas.openxmlformats.org/officeDocument/2006/relationships/hyperlink" Target="https://www.getbackbar.com/pricing" TargetMode="External"/><Relationship Id="rId13" Type="http://schemas.openxmlformats.org/officeDocument/2006/relationships/hyperlink" Target="https://getpulsesignal.com/pricing/partender" TargetMode="External"/><Relationship Id="rId14" Type="http://schemas.openxmlformats.org/officeDocument/2006/relationships/hyperlink" Target="https://www.wisk.ai/price" TargetMode="External"/><Relationship Id="rId15" Type="http://schemas.openxmlformats.org/officeDocument/2006/relationships/hyperlink" Target="https://www.softwareadvice.com/product/452785-BinWise/" TargetMode="External"/><Relationship Id="rId16" Type="http://schemas.openxmlformats.org/officeDocument/2006/relationships/hyperlink" Target="https://www.sculpturehospitality.com/sculpture-hospitality-pricing" TargetMode="External"/><Relationship Id="rId17" Type="http://schemas.openxmlformats.org/officeDocument/2006/relationships/hyperlink" Target="https://www.capterra.com/p/167143/Bevager/" TargetMode="External"/><Relationship Id="rId18" Type="http://schemas.openxmlformats.org/officeDocument/2006/relationships/hyperlink" Target="https://mypouriq.com/blog/pouriq-vs-partender/" TargetMode="External"/><Relationship Id="rId19" Type="http://schemas.openxmlformats.org/officeDocument/2006/relationships/hyperlink" Target="https://www.baraxis.io/pricing" TargetMode="External"/><Relationship Id="rId20" Type="http://schemas.openxmlformats.org/officeDocument/2006/relationships/hyperlink" Target="https://www.eventprobartender.com/" TargetMode="External"/><Relationship Id="rId21" Type="http://schemas.openxmlformats.org/officeDocument/2006/relationships/hyperlink" Target="https://developers.openai.com/api/docs/models/gpt-4o" TargetMode="External"/><Relationship Id="rId22" Type="http://schemas.openxmlformats.org/officeDocument/2006/relationships/hyperlink" Target="https://developers.openai.com/api/docs/models/gpt-4o-mini" TargetMode="External"/><Relationship Id="rId23" Type="http://schemas.openxmlformats.org/officeDocument/2006/relationships/hyperlink" Target="https://neon.com/docs/introduction/plans" TargetMode="External"/><Relationship Id="rId24" Type="http://schemas.openxmlformats.org/officeDocument/2006/relationships/hyperlink" Target="https://cloud.google.com/run/pricing" TargetMode="External"/><Relationship Id="rId25" Type="http://schemas.openxmlformats.org/officeDocument/2006/relationships/hyperlink" Target="https://www.upcitemdb.com/wp/docs/main/development/plan/" TargetMode="External"/><Relationship Id="rId26" Type="http://schemas.openxmlformats.org/officeDocument/2006/relationships/hyperlink" Target="https://stripe.com/pricing" TargetMode="External"/><Relationship Id="rId27" Type="http://schemas.openxmlformats.org/officeDocument/2006/relationships/hyperlink" Target="https://developer.apple.com/app-store/small-business-program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5" customFormat="false" ht="15" hidden="false" customHeight="false" outlineLevel="0" collapsed="false">
      <c r="A5" s="0" t="s">
        <v>4</v>
      </c>
    </row>
    <row r="6" customFormat="false" ht="15" hidden="false" customHeight="false" outlineLevel="0" collapsed="false">
      <c r="A6" s="0" t="s">
        <v>5</v>
      </c>
    </row>
    <row r="7" customFormat="false" ht="15" hidden="false" customHeight="false" outlineLevel="0" collapsed="false">
      <c r="A7" s="0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2" style="0" width="16"/>
  </cols>
  <sheetData>
    <row r="1" customFormat="false" ht="17.35" hidden="false" customHeight="false" outlineLevel="0" collapsed="false">
      <c r="A1" s="1" t="s">
        <v>7</v>
      </c>
    </row>
    <row r="3" customFormat="false" ht="15" hidden="false" customHeight="false" outlineLevel="0" collapsed="false">
      <c r="A3" s="2" t="s">
        <v>8</v>
      </c>
      <c r="B3" s="2" t="s">
        <v>9</v>
      </c>
      <c r="C3" s="2" t="s">
        <v>10</v>
      </c>
      <c r="D3" s="2" t="s">
        <v>11</v>
      </c>
    </row>
    <row r="4" customFormat="false" ht="15" hidden="false" customHeight="false" outlineLevel="0" collapsed="false">
      <c r="A4" s="0" t="s">
        <v>12</v>
      </c>
      <c r="B4" s="3" t="n">
        <f aca="false">Model_Conservative!N6</f>
        <v>26.9006708529</v>
      </c>
      <c r="C4" s="3" t="n">
        <f aca="false">Model_Base!N6</f>
        <v>329.181571583652</v>
      </c>
      <c r="D4" s="3" t="n">
        <f aca="false">Model_Upside!N6</f>
        <v>2580.08091102475</v>
      </c>
    </row>
    <row r="5" customFormat="false" ht="15" hidden="false" customHeight="false" outlineLevel="0" collapsed="false">
      <c r="A5" s="0" t="s">
        <v>13</v>
      </c>
      <c r="B5" s="3" t="n">
        <f aca="false">Model_Conservative!N7</f>
        <v>0.4035100627935</v>
      </c>
      <c r="C5" s="3" t="n">
        <f aca="false">Model_Base!N7</f>
        <v>9.87544714750957</v>
      </c>
      <c r="D5" s="3" t="n">
        <f aca="false">Model_Upside!N7</f>
        <v>129.004045551238</v>
      </c>
    </row>
    <row r="6" customFormat="false" ht="15" hidden="false" customHeight="false" outlineLevel="0" collapsed="false">
      <c r="A6" s="0" t="s">
        <v>14</v>
      </c>
      <c r="B6" s="3" t="n">
        <f aca="false">Model_Conservative!N9</f>
        <v>2.763458742272</v>
      </c>
      <c r="C6" s="3" t="n">
        <f aca="false">Model_Base!N9</f>
        <v>14.7900236110156</v>
      </c>
      <c r="D6" s="3" t="n">
        <f aca="false">Model_Upside!N9</f>
        <v>30.746600417552</v>
      </c>
    </row>
    <row r="7" customFormat="false" ht="15" hidden="false" customHeight="false" outlineLevel="0" collapsed="false">
      <c r="A7" s="0" t="s">
        <v>15</v>
      </c>
      <c r="B7" s="4" t="n">
        <f aca="false">Model_Conservative!M12</f>
        <v>53.3450170337785</v>
      </c>
      <c r="C7" s="4" t="n">
        <f aca="false">Model_Base!M12</f>
        <v>315.57451362558</v>
      </c>
      <c r="D7" s="4" t="n">
        <f aca="false">Model_Upside!M12</f>
        <v>1177.60401746918</v>
      </c>
    </row>
    <row r="8" customFormat="false" ht="15" hidden="false" customHeight="false" outlineLevel="0" collapsed="false">
      <c r="A8" s="0" t="s">
        <v>16</v>
      </c>
      <c r="B8" s="4" t="n">
        <f aca="false">Model_Conservative!N12</f>
        <v>233.546627395197</v>
      </c>
      <c r="C8" s="4" t="n">
        <f aca="false">Model_Base!N12</f>
        <v>1680.20732062129</v>
      </c>
      <c r="D8" s="4" t="n">
        <f aca="false">Model_Upside!N12</f>
        <v>5494.21364548988</v>
      </c>
    </row>
    <row r="9" customFormat="false" ht="15" hidden="false" customHeight="false" outlineLevel="0" collapsed="false">
      <c r="A9" s="0" t="s">
        <v>17</v>
      </c>
      <c r="B9" s="4" t="n">
        <f aca="false">Model_Conservative!N17</f>
        <v>540.16961338146</v>
      </c>
      <c r="C9" s="4" t="n">
        <f aca="false">Model_Base!N17</f>
        <v>1417.55055121748</v>
      </c>
      <c r="D9" s="4" t="n">
        <f aca="false">Model_Upside!N17</f>
        <v>4515.54625609106</v>
      </c>
    </row>
    <row r="10" customFormat="false" ht="15" hidden="false" customHeight="false" outlineLevel="0" collapsed="false">
      <c r="A10" s="0" t="s">
        <v>18</v>
      </c>
      <c r="B10" s="4" t="n">
        <f aca="false">Model_Conservative!N18</f>
        <v>-306.622985986263</v>
      </c>
      <c r="C10" s="4" t="n">
        <f aca="false">Model_Base!N18</f>
        <v>262.656769403812</v>
      </c>
      <c r="D10" s="4" t="n">
        <f aca="false">Model_Upside!N18</f>
        <v>978.667389398814</v>
      </c>
    </row>
    <row r="11" customFormat="false" ht="15" hidden="false" customHeight="false" outlineLevel="0" collapsed="false">
      <c r="A11" s="0" t="s">
        <v>19</v>
      </c>
      <c r="B11" s="4" t="n">
        <f aca="false">Model_Conservative!N14</f>
        <v>141.485883189844</v>
      </c>
      <c r="C11" s="4" t="n">
        <f aca="false">Model_Base!N14</f>
        <v>579.813640737881</v>
      </c>
      <c r="D11" s="4" t="n">
        <f aca="false">Model_Upside!N14</f>
        <v>2342.82972052776</v>
      </c>
    </row>
    <row r="14" customFormat="false" ht="15" hidden="false" customHeight="false" outlineLevel="0" collapsed="false">
      <c r="A14" s="5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4"/>
    <col collapsed="false" customWidth="true" hidden="false" outlineLevel="0" max="5" min="3" style="0" width="14"/>
    <col collapsed="false" customWidth="true" hidden="false" outlineLevel="0" max="6" min="6" style="0" width="11"/>
    <col collapsed="false" customWidth="true" hidden="false" outlineLevel="0" max="7" min="7" style="0" width="90"/>
  </cols>
  <sheetData>
    <row r="1" customFormat="false" ht="17.35" hidden="false" customHeight="false" outlineLevel="0" collapsed="false">
      <c r="A1" s="1" t="s">
        <v>21</v>
      </c>
    </row>
    <row r="3" customFormat="false" ht="15" hidden="false" customHeight="false" outlineLevel="0" collapsed="false">
      <c r="A3" s="2" t="s">
        <v>22</v>
      </c>
      <c r="B3" s="2" t="s">
        <v>23</v>
      </c>
      <c r="C3" s="2" t="s">
        <v>9</v>
      </c>
      <c r="D3" s="2" t="s">
        <v>10</v>
      </c>
      <c r="E3" s="2" t="s">
        <v>11</v>
      </c>
      <c r="F3" s="2" t="s">
        <v>24</v>
      </c>
      <c r="G3" s="2" t="s">
        <v>25</v>
      </c>
    </row>
    <row r="4" customFormat="false" ht="15" hidden="false" customHeight="false" outlineLevel="0" collapsed="false">
      <c r="A4" s="6" t="s">
        <v>26</v>
      </c>
      <c r="B4" s="6" t="s">
        <v>27</v>
      </c>
      <c r="C4" s="7" t="n">
        <v>150</v>
      </c>
      <c r="D4" s="7" t="n">
        <v>300</v>
      </c>
      <c r="E4" s="7" t="n">
        <v>600</v>
      </c>
      <c r="F4" s="6" t="s">
        <v>28</v>
      </c>
      <c r="G4" s="6" t="s">
        <v>29</v>
      </c>
    </row>
    <row r="5" customFormat="false" ht="15" hidden="false" customHeight="false" outlineLevel="0" collapsed="false">
      <c r="A5" s="6" t="s">
        <v>30</v>
      </c>
      <c r="B5" s="6" t="s">
        <v>31</v>
      </c>
      <c r="C5" s="8" t="n">
        <v>0.1</v>
      </c>
      <c r="D5" s="8" t="n">
        <v>0.2</v>
      </c>
      <c r="E5" s="8" t="n">
        <v>0.3</v>
      </c>
      <c r="F5" s="6" t="s">
        <v>32</v>
      </c>
      <c r="G5" s="6" t="s">
        <v>33</v>
      </c>
    </row>
    <row r="6" customFormat="false" ht="15" hidden="false" customHeight="false" outlineLevel="0" collapsed="false">
      <c r="A6" s="6" t="s">
        <v>34</v>
      </c>
      <c r="B6" s="6" t="s">
        <v>35</v>
      </c>
      <c r="C6" s="8" t="n">
        <v>0.04</v>
      </c>
      <c r="D6" s="8" t="n">
        <v>0.08</v>
      </c>
      <c r="E6" s="8" t="n">
        <v>0.12</v>
      </c>
      <c r="F6" s="6" t="s">
        <v>36</v>
      </c>
      <c r="G6" s="6" t="s">
        <v>37</v>
      </c>
    </row>
    <row r="7" customFormat="false" ht="15" hidden="false" customHeight="false" outlineLevel="0" collapsed="false">
      <c r="A7" s="6" t="s">
        <v>38</v>
      </c>
      <c r="B7" s="6" t="s">
        <v>39</v>
      </c>
      <c r="C7" s="8" t="n">
        <v>0.4</v>
      </c>
      <c r="D7" s="8" t="n">
        <v>0.55</v>
      </c>
      <c r="E7" s="8" t="n">
        <v>0.65</v>
      </c>
      <c r="F7" s="6" t="s">
        <v>36</v>
      </c>
      <c r="G7" s="6" t="s">
        <v>40</v>
      </c>
    </row>
    <row r="8" customFormat="false" ht="15" hidden="false" customHeight="false" outlineLevel="0" collapsed="false">
      <c r="A8" s="6" t="s">
        <v>41</v>
      </c>
      <c r="B8" s="6" t="s">
        <v>42</v>
      </c>
      <c r="C8" s="8" t="n">
        <v>0.015</v>
      </c>
      <c r="D8" s="8" t="n">
        <v>0.03</v>
      </c>
      <c r="E8" s="8" t="n">
        <v>0.05</v>
      </c>
      <c r="F8" s="6" t="s">
        <v>36</v>
      </c>
      <c r="G8" s="6" t="s">
        <v>43</v>
      </c>
    </row>
    <row r="9" customFormat="false" ht="15" hidden="false" customHeight="false" outlineLevel="0" collapsed="false">
      <c r="A9" s="6" t="s">
        <v>44</v>
      </c>
      <c r="B9" s="6" t="s">
        <v>45</v>
      </c>
      <c r="C9" s="9" t="n">
        <v>2.08</v>
      </c>
      <c r="D9" s="9" t="n">
        <v>2.5</v>
      </c>
      <c r="E9" s="9" t="n">
        <v>3</v>
      </c>
      <c r="F9" s="6" t="s">
        <v>46</v>
      </c>
      <c r="G9" s="6" t="s">
        <v>47</v>
      </c>
    </row>
    <row r="10" customFormat="false" ht="15" hidden="false" customHeight="false" outlineLevel="0" collapsed="false">
      <c r="A10" s="6" t="s">
        <v>48</v>
      </c>
      <c r="B10" s="6" t="s">
        <v>49</v>
      </c>
      <c r="C10" s="7" t="n">
        <v>6</v>
      </c>
      <c r="D10" s="7" t="n">
        <v>4</v>
      </c>
      <c r="E10" s="7" t="n">
        <v>4</v>
      </c>
      <c r="F10" s="6" t="s">
        <v>50</v>
      </c>
      <c r="G10" s="6" t="s">
        <v>51</v>
      </c>
    </row>
    <row r="11" customFormat="false" ht="15" hidden="false" customHeight="false" outlineLevel="0" collapsed="false">
      <c r="A11" s="6" t="s">
        <v>52</v>
      </c>
      <c r="B11" s="6" t="s">
        <v>53</v>
      </c>
      <c r="C11" s="7" t="n">
        <v>0.5</v>
      </c>
      <c r="D11" s="7" t="n">
        <v>2</v>
      </c>
      <c r="E11" s="7" t="n">
        <v>4</v>
      </c>
      <c r="F11" s="6" t="s">
        <v>54</v>
      </c>
      <c r="G11" s="6" t="s">
        <v>55</v>
      </c>
    </row>
    <row r="12" customFormat="false" ht="15" hidden="false" customHeight="false" outlineLevel="0" collapsed="false">
      <c r="A12" s="6" t="s">
        <v>56</v>
      </c>
      <c r="B12" s="6" t="s">
        <v>57</v>
      </c>
      <c r="C12" s="8" t="n">
        <v>0.08</v>
      </c>
      <c r="D12" s="8" t="n">
        <v>0.05</v>
      </c>
      <c r="E12" s="8" t="n">
        <v>0.04</v>
      </c>
      <c r="F12" s="6" t="s">
        <v>32</v>
      </c>
      <c r="G12" s="6" t="s">
        <v>58</v>
      </c>
    </row>
    <row r="13" customFormat="false" ht="15" hidden="false" customHeight="false" outlineLevel="0" collapsed="false">
      <c r="A13" s="6" t="s">
        <v>59</v>
      </c>
      <c r="B13" s="6" t="s">
        <v>60</v>
      </c>
      <c r="C13" s="9" t="n">
        <v>19</v>
      </c>
      <c r="D13" s="9" t="n">
        <v>19</v>
      </c>
      <c r="E13" s="9" t="n">
        <v>19</v>
      </c>
      <c r="F13" s="6" t="s">
        <v>46</v>
      </c>
      <c r="G13" s="6" t="s">
        <v>61</v>
      </c>
    </row>
    <row r="14" customFormat="false" ht="15" hidden="false" customHeight="false" outlineLevel="0" collapsed="false">
      <c r="A14" s="6" t="s">
        <v>62</v>
      </c>
      <c r="B14" s="6" t="s">
        <v>63</v>
      </c>
      <c r="C14" s="9" t="n">
        <v>0</v>
      </c>
      <c r="D14" s="9" t="n">
        <v>0.03</v>
      </c>
      <c r="E14" s="9" t="n">
        <v>0.08</v>
      </c>
      <c r="F14" s="6" t="s">
        <v>46</v>
      </c>
      <c r="G14" s="6" t="s">
        <v>64</v>
      </c>
    </row>
    <row r="15" customFormat="false" ht="15" hidden="false" customHeight="false" outlineLevel="0" collapsed="false">
      <c r="A15" s="6" t="s">
        <v>65</v>
      </c>
      <c r="B15" s="6" t="s">
        <v>66</v>
      </c>
      <c r="C15" s="9" t="n">
        <v>0.6</v>
      </c>
      <c r="D15" s="9" t="n">
        <v>0.27</v>
      </c>
      <c r="E15" s="9" t="n">
        <v>0.2</v>
      </c>
      <c r="F15" s="6" t="s">
        <v>46</v>
      </c>
      <c r="G15" s="6" t="s">
        <v>67</v>
      </c>
    </row>
    <row r="16" customFormat="false" ht="15" hidden="false" customHeight="false" outlineLevel="0" collapsed="false">
      <c r="A16" s="6" t="s">
        <v>68</v>
      </c>
      <c r="B16" s="6" t="s">
        <v>69</v>
      </c>
      <c r="C16" s="9" t="n">
        <v>2</v>
      </c>
      <c r="D16" s="9" t="n">
        <v>1.5</v>
      </c>
      <c r="E16" s="9" t="n">
        <v>1.5</v>
      </c>
      <c r="F16" s="6" t="s">
        <v>46</v>
      </c>
      <c r="G16" s="6" t="s">
        <v>70</v>
      </c>
    </row>
    <row r="17" customFormat="false" ht="15" hidden="false" customHeight="false" outlineLevel="0" collapsed="false">
      <c r="A17" s="6" t="s">
        <v>71</v>
      </c>
      <c r="B17" s="6" t="s">
        <v>72</v>
      </c>
      <c r="C17" s="9" t="n">
        <v>25</v>
      </c>
      <c r="D17" s="9" t="n">
        <v>5</v>
      </c>
      <c r="E17" s="9" t="n">
        <v>5</v>
      </c>
      <c r="F17" s="6" t="s">
        <v>46</v>
      </c>
      <c r="G17" s="6" t="s">
        <v>73</v>
      </c>
    </row>
    <row r="18" customFormat="false" ht="15" hidden="false" customHeight="false" outlineLevel="0" collapsed="false">
      <c r="A18" s="6" t="s">
        <v>74</v>
      </c>
      <c r="B18" s="6" t="s">
        <v>75</v>
      </c>
      <c r="C18" s="9" t="n">
        <v>80</v>
      </c>
      <c r="D18" s="9" t="n">
        <v>80</v>
      </c>
      <c r="E18" s="9" t="n">
        <v>80</v>
      </c>
      <c r="F18" s="6" t="s">
        <v>76</v>
      </c>
      <c r="G18" s="6" t="s">
        <v>77</v>
      </c>
    </row>
    <row r="19" customFormat="false" ht="15" hidden="false" customHeight="false" outlineLevel="0" collapsed="false">
      <c r="A19" s="6" t="s">
        <v>78</v>
      </c>
      <c r="B19" s="6" t="s">
        <v>79</v>
      </c>
      <c r="C19" s="9" t="n">
        <v>0</v>
      </c>
      <c r="D19" s="9" t="n">
        <v>0</v>
      </c>
      <c r="E19" s="9" t="n">
        <v>0</v>
      </c>
      <c r="F19" s="6" t="s">
        <v>46</v>
      </c>
      <c r="G19" s="6" t="s">
        <v>80</v>
      </c>
    </row>
    <row r="20" customFormat="false" ht="15" hidden="false" customHeight="false" outlineLevel="0" collapsed="false">
      <c r="A20" s="6" t="s">
        <v>81</v>
      </c>
      <c r="B20" s="6" t="s">
        <v>82</v>
      </c>
      <c r="C20" s="9" t="n">
        <v>0</v>
      </c>
      <c r="D20" s="9" t="n">
        <v>50</v>
      </c>
      <c r="E20" s="9" t="n">
        <v>150</v>
      </c>
      <c r="F20" s="6" t="s">
        <v>46</v>
      </c>
      <c r="G20" s="6" t="s">
        <v>83</v>
      </c>
    </row>
    <row r="21" customFormat="false" ht="15" hidden="false" customHeight="false" outlineLevel="0" collapsed="false">
      <c r="A21" s="6" t="s">
        <v>84</v>
      </c>
      <c r="B21" s="6" t="s">
        <v>85</v>
      </c>
      <c r="C21" s="8" t="n">
        <v>0.08</v>
      </c>
      <c r="D21" s="8" t="n">
        <v>0.06</v>
      </c>
      <c r="E21" s="8" t="n">
        <v>0.05</v>
      </c>
      <c r="F21" s="6" t="s">
        <v>86</v>
      </c>
      <c r="G21" s="6" t="s">
        <v>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3"/>
    <col collapsed="false" customWidth="true" hidden="false" outlineLevel="0" max="4" min="3" style="0" width="14"/>
    <col collapsed="false" customWidth="true" hidden="false" outlineLevel="0" max="6" min="5" style="0" width="9"/>
    <col collapsed="false" customWidth="true" hidden="false" outlineLevel="0" max="7" min="7" style="0" width="14"/>
    <col collapsed="false" customWidth="true" hidden="false" outlineLevel="0" max="8" min="8" style="0" width="20"/>
    <col collapsed="false" customWidth="true" hidden="false" outlineLevel="0" max="9" min="9" style="0" width="14"/>
  </cols>
  <sheetData>
    <row r="1" customFormat="false" ht="17.35" hidden="false" customHeight="false" outlineLevel="0" collapsed="false">
      <c r="A1" s="1" t="s">
        <v>88</v>
      </c>
    </row>
    <row r="2" customFormat="false" ht="15" hidden="false" customHeight="false" outlineLevel="0" collapsed="false">
      <c r="A2" s="5" t="s">
        <v>89</v>
      </c>
    </row>
    <row r="4" customFormat="false" ht="28.35" hidden="false" customHeight="false" outlineLevel="0" collapsed="false">
      <c r="A4" s="2" t="s">
        <v>90</v>
      </c>
      <c r="B4" s="2" t="s">
        <v>91</v>
      </c>
      <c r="C4" s="2" t="s">
        <v>92</v>
      </c>
      <c r="D4" s="2" t="s">
        <v>93</v>
      </c>
      <c r="E4" s="2" t="s">
        <v>94</v>
      </c>
      <c r="F4" s="2" t="s">
        <v>95</v>
      </c>
      <c r="G4" s="2" t="s">
        <v>96</v>
      </c>
      <c r="H4" s="2" t="s">
        <v>97</v>
      </c>
      <c r="I4" s="2" t="s">
        <v>98</v>
      </c>
    </row>
    <row r="5" customFormat="false" ht="15" hidden="false" customHeight="false" outlineLevel="0" collapsed="false">
      <c r="A5" s="0" t="s">
        <v>99</v>
      </c>
      <c r="B5" s="0" t="s">
        <v>100</v>
      </c>
      <c r="C5" s="10" t="n">
        <v>1300</v>
      </c>
      <c r="D5" s="10" t="n">
        <v>250</v>
      </c>
      <c r="E5" s="10" t="n">
        <v>2.5</v>
      </c>
      <c r="F5" s="10" t="n">
        <v>10</v>
      </c>
      <c r="G5" s="11" t="n">
        <f aca="false">C5/1000000*E5+D5/1000000*F5</f>
        <v>0.00575</v>
      </c>
      <c r="H5" s="10" t="n">
        <v>6</v>
      </c>
      <c r="I5" s="11" t="n">
        <f aca="false">G5*H5</f>
        <v>0.0345</v>
      </c>
    </row>
    <row r="6" customFormat="false" ht="15" hidden="false" customHeight="false" outlineLevel="0" collapsed="false">
      <c r="A6" s="0" t="s">
        <v>101</v>
      </c>
      <c r="B6" s="0" t="s">
        <v>102</v>
      </c>
      <c r="C6" s="10" t="n">
        <v>600</v>
      </c>
      <c r="D6" s="10" t="n">
        <v>200</v>
      </c>
      <c r="E6" s="10" t="n">
        <v>0.15</v>
      </c>
      <c r="F6" s="10" t="n">
        <v>0.6</v>
      </c>
      <c r="G6" s="11" t="n">
        <f aca="false">C6/1000000*E6+D6/1000000*F6</f>
        <v>0.00021</v>
      </c>
      <c r="H6" s="10" t="n">
        <v>6</v>
      </c>
      <c r="I6" s="11" t="n">
        <f aca="false">G6*H6</f>
        <v>0.00126</v>
      </c>
    </row>
    <row r="7" customFormat="false" ht="15" hidden="false" customHeight="false" outlineLevel="0" collapsed="false">
      <c r="A7" s="0" t="s">
        <v>103</v>
      </c>
      <c r="B7" s="0" t="s">
        <v>100</v>
      </c>
      <c r="C7" s="10" t="n">
        <v>4500</v>
      </c>
      <c r="D7" s="10" t="n">
        <v>900</v>
      </c>
      <c r="E7" s="10" t="n">
        <v>2.5</v>
      </c>
      <c r="F7" s="10" t="n">
        <v>10</v>
      </c>
      <c r="G7" s="11" t="n">
        <f aca="false">C7/1000000*E7+D7/1000000*F7</f>
        <v>0.02025</v>
      </c>
      <c r="H7" s="10" t="n">
        <v>3</v>
      </c>
      <c r="I7" s="11" t="n">
        <f aca="false">G7*H7</f>
        <v>0.06075</v>
      </c>
    </row>
    <row r="8" customFormat="false" ht="15" hidden="false" customHeight="false" outlineLevel="0" collapsed="false">
      <c r="A8" s="0" t="s">
        <v>104</v>
      </c>
      <c r="B8" s="0" t="s">
        <v>100</v>
      </c>
      <c r="C8" s="10" t="n">
        <v>1500</v>
      </c>
      <c r="D8" s="10" t="n">
        <v>900</v>
      </c>
      <c r="E8" s="10" t="n">
        <v>2.5</v>
      </c>
      <c r="F8" s="10" t="n">
        <v>10</v>
      </c>
      <c r="G8" s="11" t="n">
        <f aca="false">C8/1000000*E8+D8/1000000*F8</f>
        <v>0.01275</v>
      </c>
      <c r="H8" s="10" t="n">
        <v>2</v>
      </c>
      <c r="I8" s="11" t="n">
        <f aca="false">G8*H8</f>
        <v>0.0255</v>
      </c>
    </row>
    <row r="9" customFormat="false" ht="15" hidden="false" customHeight="false" outlineLevel="0" collapsed="false">
      <c r="A9" s="0" t="s">
        <v>105</v>
      </c>
      <c r="B9" s="0" t="s">
        <v>100</v>
      </c>
      <c r="C9" s="10" t="n">
        <v>1500</v>
      </c>
      <c r="D9" s="10" t="n">
        <v>900</v>
      </c>
      <c r="E9" s="10" t="n">
        <v>2.5</v>
      </c>
      <c r="F9" s="10" t="n">
        <v>10</v>
      </c>
      <c r="G9" s="11" t="n">
        <f aca="false">C9/1000000*E9+D9/1000000*F9</f>
        <v>0.01275</v>
      </c>
      <c r="H9" s="10" t="n">
        <v>1</v>
      </c>
      <c r="I9" s="11" t="n">
        <f aca="false">G9*H9</f>
        <v>0.01275</v>
      </c>
    </row>
    <row r="10" customFormat="false" ht="15" hidden="false" customHeight="false" outlineLevel="0" collapsed="false">
      <c r="A10" s="0" t="s">
        <v>106</v>
      </c>
      <c r="B10" s="0" t="s">
        <v>100</v>
      </c>
      <c r="C10" s="10" t="n">
        <v>400</v>
      </c>
      <c r="D10" s="10" t="n">
        <v>700</v>
      </c>
      <c r="E10" s="10" t="n">
        <v>2.5</v>
      </c>
      <c r="F10" s="10" t="n">
        <v>10</v>
      </c>
      <c r="G10" s="11" t="n">
        <f aca="false">C10/1000000*E10+D10/1000000*F10</f>
        <v>0.008</v>
      </c>
      <c r="H10" s="10" t="n">
        <v>1</v>
      </c>
      <c r="I10" s="11" t="n">
        <f aca="false">G10*H10</f>
        <v>0.008</v>
      </c>
    </row>
    <row r="11" customFormat="false" ht="15" hidden="false" customHeight="false" outlineLevel="0" collapsed="false">
      <c r="A11" s="0" t="s">
        <v>107</v>
      </c>
      <c r="B11" s="0" t="s">
        <v>100</v>
      </c>
      <c r="C11" s="10" t="n">
        <v>600</v>
      </c>
      <c r="D11" s="10" t="n">
        <v>5000</v>
      </c>
      <c r="E11" s="10" t="n">
        <v>2.5</v>
      </c>
      <c r="F11" s="10" t="n">
        <v>10</v>
      </c>
      <c r="G11" s="11" t="n">
        <f aca="false">C11/1000000*E11+D11/1000000*F11</f>
        <v>0.0515</v>
      </c>
      <c r="H11" s="10" t="n">
        <v>1</v>
      </c>
      <c r="I11" s="11" t="n">
        <f aca="false">G11*H11</f>
        <v>0.0515</v>
      </c>
    </row>
    <row r="12" customFormat="false" ht="15" hidden="false" customHeight="false" outlineLevel="0" collapsed="false">
      <c r="A12" s="12" t="s">
        <v>108</v>
      </c>
      <c r="I12" s="13" t="n">
        <f aca="false">SUM(I5:I11)</f>
        <v>0.19426</v>
      </c>
    </row>
    <row r="14" customFormat="false" ht="15" hidden="false" customHeight="false" outlineLevel="0" collapsed="false">
      <c r="A14" s="5" t="s">
        <v>109</v>
      </c>
      <c r="I14" s="14" t="n">
        <f aca="false">I12*0.15/2.5</f>
        <v>0.0116556</v>
      </c>
    </row>
    <row r="15" customFormat="false" ht="15" hidden="false" customHeight="false" outlineLevel="0" collapsed="false">
      <c r="A15" s="5" t="s">
        <v>110</v>
      </c>
      <c r="I15" s="13" t="n">
        <f aca="false">10*MAX(G5:G11)</f>
        <v>0.515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4"/>
    <col collapsed="false" customWidth="true" hidden="false" outlineLevel="0" max="14" min="2" style="0" width="11"/>
  </cols>
  <sheetData>
    <row r="1" customFormat="false" ht="17.35" hidden="false" customHeight="false" outlineLevel="0" collapsed="false">
      <c r="A1" s="1" t="s">
        <v>111</v>
      </c>
    </row>
    <row r="3" customFormat="false" ht="28.35" hidden="false" customHeight="false" outlineLevel="0" collapsed="false">
      <c r="A3" s="2" t="s">
        <v>112</v>
      </c>
      <c r="B3" s="2" t="s">
        <v>113</v>
      </c>
      <c r="C3" s="2" t="s">
        <v>114</v>
      </c>
      <c r="D3" s="2" t="s">
        <v>115</v>
      </c>
      <c r="E3" s="2" t="s">
        <v>116</v>
      </c>
      <c r="F3" s="2" t="s">
        <v>117</v>
      </c>
      <c r="G3" s="2" t="s">
        <v>118</v>
      </c>
      <c r="H3" s="2" t="s">
        <v>119</v>
      </c>
      <c r="I3" s="2" t="s">
        <v>120</v>
      </c>
      <c r="J3" s="2" t="s">
        <v>121</v>
      </c>
      <c r="K3" s="2" t="s">
        <v>122</v>
      </c>
      <c r="L3" s="2" t="s">
        <v>123</v>
      </c>
      <c r="M3" s="2" t="s">
        <v>124</v>
      </c>
      <c r="N3" s="2" t="s">
        <v>125</v>
      </c>
    </row>
    <row r="4" customFormat="false" ht="15" hidden="false" customHeight="false" outlineLevel="0" collapsed="false">
      <c r="A4" s="15" t="s">
        <v>126</v>
      </c>
      <c r="B4" s="16" t="n">
        <f aca="false">Assumptions!$C$4*(1+Assumptions!$C$5)^(1-1)</f>
        <v>150</v>
      </c>
      <c r="C4" s="16" t="n">
        <f aca="false">Assumptions!$C$4*(1+Assumptions!$C$5)^(2-1)</f>
        <v>165</v>
      </c>
      <c r="D4" s="16" t="n">
        <f aca="false">Assumptions!$C$4*(1+Assumptions!$C$5)^(3-1)</f>
        <v>181.5</v>
      </c>
      <c r="E4" s="16" t="n">
        <f aca="false">Assumptions!$C$4*(1+Assumptions!$C$5)^(4-1)</f>
        <v>199.65</v>
      </c>
      <c r="F4" s="16" t="n">
        <f aca="false">Assumptions!$C$4*(1+Assumptions!$C$5)^(5-1)</f>
        <v>219.615</v>
      </c>
      <c r="G4" s="16" t="n">
        <f aca="false">Assumptions!$C$4*(1+Assumptions!$C$5)^(6-1)</f>
        <v>241.5765</v>
      </c>
      <c r="H4" s="16" t="n">
        <f aca="false">Assumptions!$C$4*(1+Assumptions!$C$5)^(7-1)</f>
        <v>265.73415</v>
      </c>
      <c r="I4" s="16" t="n">
        <f aca="false">Assumptions!$C$4*(1+Assumptions!$C$5)^(8-1)</f>
        <v>292.307565</v>
      </c>
      <c r="J4" s="16" t="n">
        <f aca="false">Assumptions!$C$4*(1+Assumptions!$C$5)^(9-1)</f>
        <v>321.5383215</v>
      </c>
      <c r="K4" s="16" t="n">
        <f aca="false">Assumptions!$C$4*(1+Assumptions!$C$5)^(10-1)</f>
        <v>353.69215365</v>
      </c>
      <c r="L4" s="16" t="n">
        <f aca="false">Assumptions!$C$4*(1+Assumptions!$C$5)^(11-1)</f>
        <v>389.061369015</v>
      </c>
      <c r="M4" s="16" t="n">
        <f aca="false">Assumptions!$C$4*(1+Assumptions!$C$5)^(12-1)</f>
        <v>427.9675059165</v>
      </c>
      <c r="N4" s="17" t="n">
        <f aca="false">SUM(B4:M4)</f>
        <v>3207.6425650815</v>
      </c>
    </row>
    <row r="5" customFormat="false" ht="15" hidden="false" customHeight="false" outlineLevel="0" collapsed="false">
      <c r="A5" s="15" t="s">
        <v>127</v>
      </c>
      <c r="B5" s="16" t="n">
        <f aca="false">B4*Assumptions!$C$6</f>
        <v>6</v>
      </c>
      <c r="C5" s="16" t="n">
        <f aca="false">C4*Assumptions!$C$6</f>
        <v>6.6</v>
      </c>
      <c r="D5" s="16" t="n">
        <f aca="false">D4*Assumptions!$C$6</f>
        <v>7.26</v>
      </c>
      <c r="E5" s="16" t="n">
        <f aca="false">E4*Assumptions!$C$6</f>
        <v>7.986</v>
      </c>
      <c r="F5" s="16" t="n">
        <f aca="false">F4*Assumptions!$C$6</f>
        <v>8.7846</v>
      </c>
      <c r="G5" s="16" t="n">
        <f aca="false">G4*Assumptions!$C$6</f>
        <v>9.66306</v>
      </c>
      <c r="H5" s="16" t="n">
        <f aca="false">H4*Assumptions!$C$6</f>
        <v>10.629366</v>
      </c>
      <c r="I5" s="16" t="n">
        <f aca="false">I4*Assumptions!$C$6</f>
        <v>11.6923026</v>
      </c>
      <c r="J5" s="16" t="n">
        <f aca="false">J4*Assumptions!$C$6</f>
        <v>12.86153286</v>
      </c>
      <c r="K5" s="16" t="n">
        <f aca="false">K4*Assumptions!$C$6</f>
        <v>14.147686146</v>
      </c>
      <c r="L5" s="16" t="n">
        <f aca="false">L4*Assumptions!$C$6</f>
        <v>15.5624547606</v>
      </c>
      <c r="M5" s="16" t="n">
        <f aca="false">M4*Assumptions!$C$6</f>
        <v>17.11870023666</v>
      </c>
      <c r="N5" s="17" t="n">
        <f aca="false">SUM(B5:M5)</f>
        <v>128.30570260326</v>
      </c>
    </row>
    <row r="6" customFormat="false" ht="15" hidden="false" customHeight="false" outlineLevel="0" collapsed="false">
      <c r="A6" s="15" t="s">
        <v>128</v>
      </c>
      <c r="B6" s="16" t="n">
        <f aca="false">B5</f>
        <v>6</v>
      </c>
      <c r="C6" s="16" t="n">
        <f aca="false">B6*Assumptions!$C$7+C5</f>
        <v>9</v>
      </c>
      <c r="D6" s="16" t="n">
        <f aca="false">C6*Assumptions!$C$7+D5</f>
        <v>10.86</v>
      </c>
      <c r="E6" s="16" t="n">
        <f aca="false">D6*Assumptions!$C$7+E5</f>
        <v>12.33</v>
      </c>
      <c r="F6" s="16" t="n">
        <f aca="false">E6*Assumptions!$C$7+F5</f>
        <v>13.7166</v>
      </c>
      <c r="G6" s="16" t="n">
        <f aca="false">F6*Assumptions!$C$7+G5</f>
        <v>15.1497</v>
      </c>
      <c r="H6" s="16" t="n">
        <f aca="false">G6*Assumptions!$C$7+H5</f>
        <v>16.689246</v>
      </c>
      <c r="I6" s="16" t="n">
        <f aca="false">H6*Assumptions!$C$7+I5</f>
        <v>18.368001</v>
      </c>
      <c r="J6" s="16" t="n">
        <f aca="false">I6*Assumptions!$C$7+J5</f>
        <v>20.20873326</v>
      </c>
      <c r="K6" s="16" t="n">
        <f aca="false">J6*Assumptions!$C$7+K5</f>
        <v>22.23117945</v>
      </c>
      <c r="L6" s="16" t="n">
        <f aca="false">K6*Assumptions!$C$7+L5</f>
        <v>24.4549265406</v>
      </c>
      <c r="M6" s="16" t="n">
        <f aca="false">L6*Assumptions!$C$7+M5</f>
        <v>26.9006708529</v>
      </c>
      <c r="N6" s="17" t="n">
        <f aca="false">M6</f>
        <v>26.9006708529</v>
      </c>
    </row>
    <row r="7" customFormat="false" ht="15" hidden="false" customHeight="false" outlineLevel="0" collapsed="false">
      <c r="A7" s="15" t="s">
        <v>129</v>
      </c>
      <c r="B7" s="3" t="n">
        <f aca="false">B6*Assumptions!$C$8</f>
        <v>0.09</v>
      </c>
      <c r="C7" s="3" t="n">
        <f aca="false">C6*Assumptions!$C$8</f>
        <v>0.135</v>
      </c>
      <c r="D7" s="3" t="n">
        <f aca="false">D6*Assumptions!$C$8</f>
        <v>0.1629</v>
      </c>
      <c r="E7" s="3" t="n">
        <f aca="false">E6*Assumptions!$C$8</f>
        <v>0.18495</v>
      </c>
      <c r="F7" s="3" t="n">
        <f aca="false">F6*Assumptions!$C$8</f>
        <v>0.205749</v>
      </c>
      <c r="G7" s="3" t="n">
        <f aca="false">G6*Assumptions!$C$8</f>
        <v>0.2272455</v>
      </c>
      <c r="H7" s="3" t="n">
        <f aca="false">H6*Assumptions!$C$8</f>
        <v>0.25033869</v>
      </c>
      <c r="I7" s="3" t="n">
        <f aca="false">I6*Assumptions!$C$8</f>
        <v>0.275520015</v>
      </c>
      <c r="J7" s="3" t="n">
        <f aca="false">J6*Assumptions!$C$8</f>
        <v>0.3031309989</v>
      </c>
      <c r="K7" s="3" t="n">
        <f aca="false">K6*Assumptions!$C$8</f>
        <v>0.33346769175</v>
      </c>
      <c r="L7" s="3" t="n">
        <f aca="false">L6*Assumptions!$C$8</f>
        <v>0.366823898109</v>
      </c>
      <c r="M7" s="3" t="n">
        <f aca="false">M6*Assumptions!$C$8</f>
        <v>0.4035100627935</v>
      </c>
      <c r="N7" s="18" t="n">
        <f aca="false">M7</f>
        <v>0.4035100627935</v>
      </c>
    </row>
    <row r="8" customFormat="false" ht="15" hidden="false" customHeight="false" outlineLevel="0" collapsed="false">
      <c r="A8" s="15" t="s">
        <v>130</v>
      </c>
      <c r="B8" s="19" t="n">
        <f aca="false">B7*Assumptions!$C$9</f>
        <v>0.1872</v>
      </c>
      <c r="C8" s="19" t="n">
        <f aca="false">C7*Assumptions!$C$9</f>
        <v>0.2808</v>
      </c>
      <c r="D8" s="19" t="n">
        <f aca="false">D7*Assumptions!$C$9</f>
        <v>0.338832</v>
      </c>
      <c r="E8" s="19" t="n">
        <f aca="false">E7*Assumptions!$C$9</f>
        <v>0.384696</v>
      </c>
      <c r="F8" s="19" t="n">
        <f aca="false">F7*Assumptions!$C$9</f>
        <v>0.42795792</v>
      </c>
      <c r="G8" s="19" t="n">
        <f aca="false">G7*Assumptions!$C$9</f>
        <v>0.47267064</v>
      </c>
      <c r="H8" s="19" t="n">
        <f aca="false">H7*Assumptions!$C$9</f>
        <v>0.5207044752</v>
      </c>
      <c r="I8" s="19" t="n">
        <f aca="false">I7*Assumptions!$C$9</f>
        <v>0.5730816312</v>
      </c>
      <c r="J8" s="19" t="n">
        <f aca="false">J7*Assumptions!$C$9</f>
        <v>0.630512477712</v>
      </c>
      <c r="K8" s="19" t="n">
        <f aca="false">K7*Assumptions!$C$9</f>
        <v>0.693612798840001</v>
      </c>
      <c r="L8" s="19" t="n">
        <f aca="false">L7*Assumptions!$C$9</f>
        <v>0.762993708066721</v>
      </c>
      <c r="M8" s="19" t="n">
        <f aca="false">M7*Assumptions!$C$9</f>
        <v>0.839300930610481</v>
      </c>
      <c r="N8" s="20" t="n">
        <f aca="false">SUM(B8:M8)</f>
        <v>6.1123625816292</v>
      </c>
    </row>
    <row r="9" customFormat="false" ht="15" hidden="false" customHeight="false" outlineLevel="0" collapsed="false">
      <c r="A9" s="15" t="s">
        <v>131</v>
      </c>
      <c r="B9" s="3" t="n">
        <f aca="false">IF(1&lt;Assumptions!$C$10,0,0*(1-Assumptions!$C$12)+Assumptions!$C$11)</f>
        <v>0</v>
      </c>
      <c r="C9" s="3" t="n">
        <f aca="false">IF(2&lt;Assumptions!$C$10,0,B9*(1-Assumptions!$C$12)+Assumptions!$C$11)</f>
        <v>0</v>
      </c>
      <c r="D9" s="3" t="n">
        <f aca="false">IF(3&lt;Assumptions!$C$10,0,C9*(1-Assumptions!$C$12)+Assumptions!$C$11)</f>
        <v>0</v>
      </c>
      <c r="E9" s="3" t="n">
        <f aca="false">IF(4&lt;Assumptions!$C$10,0,D9*(1-Assumptions!$C$12)+Assumptions!$C$11)</f>
        <v>0</v>
      </c>
      <c r="F9" s="3" t="n">
        <f aca="false">IF(5&lt;Assumptions!$C$10,0,E9*(1-Assumptions!$C$12)+Assumptions!$C$11)</f>
        <v>0</v>
      </c>
      <c r="G9" s="3" t="n">
        <f aca="false">IF(6&lt;Assumptions!$C$10,0,F9*(1-Assumptions!$C$12)+Assumptions!$C$11)</f>
        <v>0.5</v>
      </c>
      <c r="H9" s="3" t="n">
        <f aca="false">IF(7&lt;Assumptions!$C$10,0,G9*(1-Assumptions!$C$12)+Assumptions!$C$11)</f>
        <v>0.96</v>
      </c>
      <c r="I9" s="3" t="n">
        <f aca="false">IF(8&lt;Assumptions!$C$10,0,H9*(1-Assumptions!$C$12)+Assumptions!$C$11)</f>
        <v>1.3832</v>
      </c>
      <c r="J9" s="3" t="n">
        <f aca="false">IF(9&lt;Assumptions!$C$10,0,I9*(1-Assumptions!$C$12)+Assumptions!$C$11)</f>
        <v>1.772544</v>
      </c>
      <c r="K9" s="3" t="n">
        <f aca="false">IF(10&lt;Assumptions!$C$10,0,J9*(1-Assumptions!$C$12)+Assumptions!$C$11)</f>
        <v>2.13074048</v>
      </c>
      <c r="L9" s="3" t="n">
        <f aca="false">IF(11&lt;Assumptions!$C$10,0,K9*(1-Assumptions!$C$12)+Assumptions!$C$11)</f>
        <v>2.4602812416</v>
      </c>
      <c r="M9" s="3" t="n">
        <f aca="false">IF(12&lt;Assumptions!$C$10,0,L9*(1-Assumptions!$C$12)+Assumptions!$C$11)</f>
        <v>2.763458742272</v>
      </c>
      <c r="N9" s="18" t="n">
        <f aca="false">M9</f>
        <v>2.763458742272</v>
      </c>
    </row>
    <row r="10" customFormat="false" ht="15" hidden="false" customHeight="false" outlineLevel="0" collapsed="false">
      <c r="A10" s="15" t="s">
        <v>132</v>
      </c>
      <c r="B10" s="19" t="n">
        <f aca="false">B9*Assumptions!$C$13</f>
        <v>0</v>
      </c>
      <c r="C10" s="19" t="n">
        <f aca="false">C9*Assumptions!$C$13</f>
        <v>0</v>
      </c>
      <c r="D10" s="19" t="n">
        <f aca="false">D9*Assumptions!$C$13</f>
        <v>0</v>
      </c>
      <c r="E10" s="19" t="n">
        <f aca="false">E9*Assumptions!$C$13</f>
        <v>0</v>
      </c>
      <c r="F10" s="19" t="n">
        <f aca="false">F9*Assumptions!$C$13</f>
        <v>0</v>
      </c>
      <c r="G10" s="19" t="n">
        <f aca="false">G9*Assumptions!$C$13</f>
        <v>9.5</v>
      </c>
      <c r="H10" s="19" t="n">
        <f aca="false">H9*Assumptions!$C$13</f>
        <v>18.24</v>
      </c>
      <c r="I10" s="19" t="n">
        <f aca="false">I9*Assumptions!$C$13</f>
        <v>26.2808</v>
      </c>
      <c r="J10" s="19" t="n">
        <f aca="false">J9*Assumptions!$C$13</f>
        <v>33.678336</v>
      </c>
      <c r="K10" s="19" t="n">
        <f aca="false">K9*Assumptions!$C$13</f>
        <v>40.48406912</v>
      </c>
      <c r="L10" s="19" t="n">
        <f aca="false">L9*Assumptions!$C$13</f>
        <v>46.7453435904</v>
      </c>
      <c r="M10" s="19" t="n">
        <f aca="false">M9*Assumptions!$C$13</f>
        <v>52.505716103168</v>
      </c>
      <c r="N10" s="20" t="n">
        <f aca="false">SUM(B10:M10)</f>
        <v>227.434264813568</v>
      </c>
    </row>
    <row r="11" customFormat="false" ht="15" hidden="false" customHeight="false" outlineLevel="0" collapsed="false">
      <c r="A11" s="15" t="s">
        <v>133</v>
      </c>
      <c r="B11" s="19" t="n">
        <f aca="false">B6*Assumptions!$C$14</f>
        <v>0</v>
      </c>
      <c r="C11" s="19" t="n">
        <f aca="false">C6*Assumptions!$C$14</f>
        <v>0</v>
      </c>
      <c r="D11" s="19" t="n">
        <f aca="false">D6*Assumptions!$C$14</f>
        <v>0</v>
      </c>
      <c r="E11" s="19" t="n">
        <f aca="false">E6*Assumptions!$C$14</f>
        <v>0</v>
      </c>
      <c r="F11" s="19" t="n">
        <f aca="false">F6*Assumptions!$C$14</f>
        <v>0</v>
      </c>
      <c r="G11" s="19" t="n">
        <f aca="false">G6*Assumptions!$C$14</f>
        <v>0</v>
      </c>
      <c r="H11" s="19" t="n">
        <f aca="false">H6*Assumptions!$C$14</f>
        <v>0</v>
      </c>
      <c r="I11" s="19" t="n">
        <f aca="false">I6*Assumptions!$C$14</f>
        <v>0</v>
      </c>
      <c r="J11" s="19" t="n">
        <f aca="false">J6*Assumptions!$C$14</f>
        <v>0</v>
      </c>
      <c r="K11" s="19" t="n">
        <f aca="false">K6*Assumptions!$C$14</f>
        <v>0</v>
      </c>
      <c r="L11" s="19" t="n">
        <f aca="false">L6*Assumptions!$C$14</f>
        <v>0</v>
      </c>
      <c r="M11" s="19" t="n">
        <f aca="false">M6*Assumptions!$C$14</f>
        <v>0</v>
      </c>
      <c r="N11" s="20" t="n">
        <f aca="false">SUM(B11:M11)</f>
        <v>0</v>
      </c>
    </row>
    <row r="12" customFormat="false" ht="15" hidden="false" customHeight="false" outlineLevel="0" collapsed="false">
      <c r="A12" s="12" t="s">
        <v>134</v>
      </c>
      <c r="B12" s="19" t="n">
        <f aca="false">B8+B10+B11</f>
        <v>0.1872</v>
      </c>
      <c r="C12" s="19" t="n">
        <f aca="false">C8+C10+C11</f>
        <v>0.2808</v>
      </c>
      <c r="D12" s="19" t="n">
        <f aca="false">D8+D10+D11</f>
        <v>0.338832</v>
      </c>
      <c r="E12" s="19" t="n">
        <f aca="false">E8+E10+E11</f>
        <v>0.384696</v>
      </c>
      <c r="F12" s="19" t="n">
        <f aca="false">F8+F10+F11</f>
        <v>0.42795792</v>
      </c>
      <c r="G12" s="19" t="n">
        <f aca="false">G8+G10+G11</f>
        <v>9.97267064</v>
      </c>
      <c r="H12" s="19" t="n">
        <f aca="false">H8+H10+H11</f>
        <v>18.7607044752</v>
      </c>
      <c r="I12" s="19" t="n">
        <f aca="false">I8+I10+I11</f>
        <v>26.8538816312</v>
      </c>
      <c r="J12" s="19" t="n">
        <f aca="false">J8+J10+J11</f>
        <v>34.308848477712</v>
      </c>
      <c r="K12" s="19" t="n">
        <f aca="false">K8+K10+K11</f>
        <v>41.17768191884</v>
      </c>
      <c r="L12" s="19" t="n">
        <f aca="false">L8+L10+L11</f>
        <v>47.5083372984667</v>
      </c>
      <c r="M12" s="19" t="n">
        <f aca="false">M8+M10+M11</f>
        <v>53.3450170337785</v>
      </c>
      <c r="N12" s="20" t="n">
        <f aca="false">SUM(B12:M12)</f>
        <v>233.546627395197</v>
      </c>
    </row>
    <row r="13" customFormat="false" ht="15" hidden="false" customHeight="false" outlineLevel="0" collapsed="false">
      <c r="A13" s="15" t="s">
        <v>135</v>
      </c>
      <c r="B13" s="19" t="n">
        <f aca="false">(B8+B10)*Assumptions!$C$21</f>
        <v>0.014976</v>
      </c>
      <c r="C13" s="19" t="n">
        <f aca="false">(C8+C10)*Assumptions!$C$21</f>
        <v>0.022464</v>
      </c>
      <c r="D13" s="19" t="n">
        <f aca="false">(D8+D10)*Assumptions!$C$21</f>
        <v>0.02710656</v>
      </c>
      <c r="E13" s="19" t="n">
        <f aca="false">(E8+E10)*Assumptions!$C$21</f>
        <v>0.03077568</v>
      </c>
      <c r="F13" s="19" t="n">
        <f aca="false">(F8+F10)*Assumptions!$C$21</f>
        <v>0.0342366336</v>
      </c>
      <c r="G13" s="19" t="n">
        <f aca="false">(G8+G10)*Assumptions!$C$21</f>
        <v>0.7978136512</v>
      </c>
      <c r="H13" s="19" t="n">
        <f aca="false">(H8+H10)*Assumptions!$C$21</f>
        <v>1.500856358016</v>
      </c>
      <c r="I13" s="19" t="n">
        <f aca="false">(I8+I10)*Assumptions!$C$21</f>
        <v>2.148310530496</v>
      </c>
      <c r="J13" s="19" t="n">
        <f aca="false">(J8+J10)*Assumptions!$C$21</f>
        <v>2.74470787821696</v>
      </c>
      <c r="K13" s="19" t="n">
        <f aca="false">(K8+K10)*Assumptions!$C$21</f>
        <v>3.2942145535072</v>
      </c>
      <c r="L13" s="19" t="n">
        <f aca="false">(L8+L10)*Assumptions!$C$21</f>
        <v>3.80066698387734</v>
      </c>
      <c r="M13" s="19" t="n">
        <f aca="false">(M8+M10)*Assumptions!$C$21</f>
        <v>4.26760136270228</v>
      </c>
      <c r="N13" s="20" t="n">
        <f aca="false">SUM(B13:M13)</f>
        <v>18.6837301916158</v>
      </c>
    </row>
    <row r="14" customFormat="false" ht="15" hidden="false" customHeight="false" outlineLevel="0" collapsed="false">
      <c r="A14" s="15" t="s">
        <v>136</v>
      </c>
      <c r="B14" s="19" t="n">
        <f aca="false">B6*Assumptions!$C$15+B9*Assumptions!$C$16</f>
        <v>3.6</v>
      </c>
      <c r="C14" s="19" t="n">
        <f aca="false">C6*Assumptions!$C$15+C9*Assumptions!$C$16</f>
        <v>5.4</v>
      </c>
      <c r="D14" s="19" t="n">
        <f aca="false">D6*Assumptions!$C$15+D9*Assumptions!$C$16</f>
        <v>6.516</v>
      </c>
      <c r="E14" s="19" t="n">
        <f aca="false">E6*Assumptions!$C$15+E9*Assumptions!$C$16</f>
        <v>7.398</v>
      </c>
      <c r="F14" s="19" t="n">
        <f aca="false">F6*Assumptions!$C$15+F9*Assumptions!$C$16</f>
        <v>8.22996</v>
      </c>
      <c r="G14" s="19" t="n">
        <f aca="false">G6*Assumptions!$C$15+G9*Assumptions!$C$16</f>
        <v>10.08982</v>
      </c>
      <c r="H14" s="19" t="n">
        <f aca="false">H6*Assumptions!$C$15+H9*Assumptions!$C$16</f>
        <v>11.9335476</v>
      </c>
      <c r="I14" s="19" t="n">
        <f aca="false">I6*Assumptions!$C$15+I9*Assumptions!$C$16</f>
        <v>13.7872006</v>
      </c>
      <c r="J14" s="19" t="n">
        <f aca="false">J6*Assumptions!$C$15+J9*Assumptions!$C$16</f>
        <v>15.670327956</v>
      </c>
      <c r="K14" s="19" t="n">
        <f aca="false">K6*Assumptions!$C$15+K9*Assumptions!$C$16</f>
        <v>17.60018863</v>
      </c>
      <c r="L14" s="19" t="n">
        <f aca="false">L6*Assumptions!$C$15+L9*Assumptions!$C$16</f>
        <v>19.59351840756</v>
      </c>
      <c r="M14" s="19" t="n">
        <f aca="false">M6*Assumptions!$C$15+M9*Assumptions!$C$16</f>
        <v>21.667319996284</v>
      </c>
      <c r="N14" s="20" t="n">
        <f aca="false">SUM(B14:M14)</f>
        <v>141.485883189844</v>
      </c>
    </row>
    <row r="15" customFormat="false" ht="15" hidden="false" customHeight="false" outlineLevel="0" collapsed="false">
      <c r="A15" s="15" t="s">
        <v>137</v>
      </c>
      <c r="B15" s="19" t="n">
        <f aca="false">Assumptions!$C$17+Assumptions!$C$18/12+Assumptions!$C$19</f>
        <v>31.6666666666667</v>
      </c>
      <c r="C15" s="19" t="n">
        <f aca="false">Assumptions!$C$17+Assumptions!$C$18/12+Assumptions!$C$19</f>
        <v>31.6666666666667</v>
      </c>
      <c r="D15" s="19" t="n">
        <f aca="false">Assumptions!$C$17+Assumptions!$C$18/12+Assumptions!$C$19</f>
        <v>31.6666666666667</v>
      </c>
      <c r="E15" s="19" t="n">
        <f aca="false">Assumptions!$C$17+Assumptions!$C$18/12+Assumptions!$C$19</f>
        <v>31.6666666666667</v>
      </c>
      <c r="F15" s="19" t="n">
        <f aca="false">Assumptions!$C$17+Assumptions!$C$18/12+Assumptions!$C$19</f>
        <v>31.6666666666667</v>
      </c>
      <c r="G15" s="19" t="n">
        <f aca="false">Assumptions!$C$17+Assumptions!$C$18/12+Assumptions!$C$19</f>
        <v>31.6666666666667</v>
      </c>
      <c r="H15" s="19" t="n">
        <f aca="false">Assumptions!$C$17+Assumptions!$C$18/12+Assumptions!$C$19</f>
        <v>31.6666666666667</v>
      </c>
      <c r="I15" s="19" t="n">
        <f aca="false">Assumptions!$C$17+Assumptions!$C$18/12+Assumptions!$C$19</f>
        <v>31.6666666666667</v>
      </c>
      <c r="J15" s="19" t="n">
        <f aca="false">Assumptions!$C$17+Assumptions!$C$18/12+Assumptions!$C$19</f>
        <v>31.6666666666667</v>
      </c>
      <c r="K15" s="19" t="n">
        <f aca="false">Assumptions!$C$17+Assumptions!$C$18/12+Assumptions!$C$19</f>
        <v>31.6666666666667</v>
      </c>
      <c r="L15" s="19" t="n">
        <f aca="false">Assumptions!$C$17+Assumptions!$C$18/12+Assumptions!$C$19</f>
        <v>31.6666666666667</v>
      </c>
      <c r="M15" s="19" t="n">
        <f aca="false">Assumptions!$C$17+Assumptions!$C$18/12+Assumptions!$C$19</f>
        <v>31.6666666666667</v>
      </c>
      <c r="N15" s="20" t="n">
        <f aca="false">SUM(B15:M15)</f>
        <v>380</v>
      </c>
    </row>
    <row r="16" customFormat="false" ht="15" hidden="false" customHeight="false" outlineLevel="0" collapsed="false">
      <c r="A16" s="15" t="s">
        <v>138</v>
      </c>
      <c r="B16" s="19" t="n">
        <f aca="false">Assumptions!$C$20</f>
        <v>0</v>
      </c>
      <c r="C16" s="19" t="n">
        <f aca="false">Assumptions!$C$20</f>
        <v>0</v>
      </c>
      <c r="D16" s="19" t="n">
        <f aca="false">Assumptions!$C$20</f>
        <v>0</v>
      </c>
      <c r="E16" s="19" t="n">
        <f aca="false">Assumptions!$C$20</f>
        <v>0</v>
      </c>
      <c r="F16" s="19" t="n">
        <f aca="false">Assumptions!$C$20</f>
        <v>0</v>
      </c>
      <c r="G16" s="19" t="n">
        <f aca="false">Assumptions!$C$20</f>
        <v>0</v>
      </c>
      <c r="H16" s="19" t="n">
        <f aca="false">Assumptions!$C$20</f>
        <v>0</v>
      </c>
      <c r="I16" s="19" t="n">
        <f aca="false">Assumptions!$C$20</f>
        <v>0</v>
      </c>
      <c r="J16" s="19" t="n">
        <f aca="false">Assumptions!$C$20</f>
        <v>0</v>
      </c>
      <c r="K16" s="19" t="n">
        <f aca="false">Assumptions!$C$20</f>
        <v>0</v>
      </c>
      <c r="L16" s="19" t="n">
        <f aca="false">Assumptions!$C$20</f>
        <v>0</v>
      </c>
      <c r="M16" s="19" t="n">
        <f aca="false">Assumptions!$C$20</f>
        <v>0</v>
      </c>
      <c r="N16" s="20" t="n">
        <f aca="false">SUM(B16:M16)</f>
        <v>0</v>
      </c>
    </row>
    <row r="17" customFormat="false" ht="15" hidden="false" customHeight="false" outlineLevel="0" collapsed="false">
      <c r="A17" s="12" t="s">
        <v>139</v>
      </c>
      <c r="B17" s="19" t="n">
        <f aca="false">SUM(B13:B16)</f>
        <v>35.2816426666667</v>
      </c>
      <c r="C17" s="19" t="n">
        <f aca="false">SUM(C13:C16)</f>
        <v>37.0891306666667</v>
      </c>
      <c r="D17" s="19" t="n">
        <f aca="false">SUM(D13:D16)</f>
        <v>38.2097732266667</v>
      </c>
      <c r="E17" s="19" t="n">
        <f aca="false">SUM(E13:E16)</f>
        <v>39.0954423466667</v>
      </c>
      <c r="F17" s="19" t="n">
        <f aca="false">SUM(F13:F16)</f>
        <v>39.9308633002667</v>
      </c>
      <c r="G17" s="19" t="n">
        <f aca="false">SUM(G13:G16)</f>
        <v>42.5543003178667</v>
      </c>
      <c r="H17" s="19" t="n">
        <f aca="false">SUM(H13:H16)</f>
        <v>45.1010706246827</v>
      </c>
      <c r="I17" s="19" t="n">
        <f aca="false">SUM(I13:I16)</f>
        <v>47.6021777971627</v>
      </c>
      <c r="J17" s="19" t="n">
        <f aca="false">SUM(J13:J16)</f>
        <v>50.0817025008836</v>
      </c>
      <c r="K17" s="19" t="n">
        <f aca="false">SUM(K13:K16)</f>
        <v>52.5610698501739</v>
      </c>
      <c r="L17" s="19" t="n">
        <f aca="false">SUM(L13:L16)</f>
        <v>55.060852058104</v>
      </c>
      <c r="M17" s="19" t="n">
        <f aca="false">SUM(M13:M16)</f>
        <v>57.601588025653</v>
      </c>
      <c r="N17" s="20" t="n">
        <f aca="false">SUM(B17:M17)</f>
        <v>540.16961338146</v>
      </c>
    </row>
    <row r="18" customFormat="false" ht="15" hidden="false" customHeight="false" outlineLevel="0" collapsed="false">
      <c r="A18" s="12" t="s">
        <v>140</v>
      </c>
      <c r="B18" s="19" t="n">
        <f aca="false">B12-B17</f>
        <v>-35.0944426666667</v>
      </c>
      <c r="C18" s="19" t="n">
        <f aca="false">C12-C17</f>
        <v>-36.8083306666667</v>
      </c>
      <c r="D18" s="19" t="n">
        <f aca="false">D12-D17</f>
        <v>-37.8709412266667</v>
      </c>
      <c r="E18" s="19" t="n">
        <f aca="false">E12-E17</f>
        <v>-38.7107463466667</v>
      </c>
      <c r="F18" s="19" t="n">
        <f aca="false">F12-F17</f>
        <v>-39.5029053802667</v>
      </c>
      <c r="G18" s="19" t="n">
        <f aca="false">G12-G17</f>
        <v>-32.5816296778667</v>
      </c>
      <c r="H18" s="19" t="n">
        <f aca="false">H12-H17</f>
        <v>-26.3403661494827</v>
      </c>
      <c r="I18" s="19" t="n">
        <f aca="false">I12-I17</f>
        <v>-20.7482961659627</v>
      </c>
      <c r="J18" s="19" t="n">
        <f aca="false">J12-J17</f>
        <v>-15.7728540231716</v>
      </c>
      <c r="K18" s="19" t="n">
        <f aca="false">K12-K17</f>
        <v>-11.3833879313339</v>
      </c>
      <c r="L18" s="19" t="n">
        <f aca="false">L12-L17</f>
        <v>-7.55251475963729</v>
      </c>
      <c r="M18" s="19" t="n">
        <f aca="false">M12-M17</f>
        <v>-4.25657099187448</v>
      </c>
      <c r="N18" s="20" t="n">
        <f aca="false">SUM(B18:M18)</f>
        <v>-306.622985986263</v>
      </c>
    </row>
    <row r="19" customFormat="false" ht="15" hidden="false" customHeight="false" outlineLevel="0" collapsed="false">
      <c r="A19" s="15" t="s">
        <v>141</v>
      </c>
      <c r="B19" s="19" t="n">
        <f aca="false">B18</f>
        <v>-35.0944426666667</v>
      </c>
      <c r="C19" s="19" t="n">
        <f aca="false">B19+C18</f>
        <v>-71.9027733333333</v>
      </c>
      <c r="D19" s="19" t="n">
        <f aca="false">C19+D18</f>
        <v>-109.77371456</v>
      </c>
      <c r="E19" s="19" t="n">
        <f aca="false">D19+E18</f>
        <v>-148.484460906667</v>
      </c>
      <c r="F19" s="19" t="n">
        <f aca="false">E19+F18</f>
        <v>-187.987366286933</v>
      </c>
      <c r="G19" s="19" t="n">
        <f aca="false">F19+G18</f>
        <v>-220.5689959648</v>
      </c>
      <c r="H19" s="19" t="n">
        <f aca="false">G19+H18</f>
        <v>-246.909362114283</v>
      </c>
      <c r="I19" s="19" t="n">
        <f aca="false">H19+I18</f>
        <v>-267.657658280245</v>
      </c>
      <c r="J19" s="19" t="n">
        <f aca="false">I19+J18</f>
        <v>-283.430512303417</v>
      </c>
      <c r="K19" s="19" t="n">
        <f aca="false">J19+K18</f>
        <v>-294.813900234751</v>
      </c>
      <c r="L19" s="19" t="n">
        <f aca="false">K19+L18</f>
        <v>-302.366414994388</v>
      </c>
      <c r="M19" s="19" t="n">
        <f aca="false">L19+M18</f>
        <v>-306.622985986263</v>
      </c>
      <c r="N19" s="20" t="n">
        <f aca="false">M19</f>
        <v>-306.622985986263</v>
      </c>
    </row>
    <row r="20" customFormat="false" ht="15" hidden="false" customHeight="false" outlineLevel="0" collapsed="false">
      <c r="A20" s="15" t="s">
        <v>142</v>
      </c>
      <c r="B20" s="19" t="n">
        <f aca="false">IFERROR(B16/B5,0)</f>
        <v>0</v>
      </c>
      <c r="C20" s="19" t="n">
        <f aca="false">IFERROR(C16/C5,0)</f>
        <v>0</v>
      </c>
      <c r="D20" s="19" t="n">
        <f aca="false">IFERROR(D16/D5,0)</f>
        <v>0</v>
      </c>
      <c r="E20" s="19" t="n">
        <f aca="false">IFERROR(E16/E5,0)</f>
        <v>0</v>
      </c>
      <c r="F20" s="19" t="n">
        <f aca="false">IFERROR(F16/F5,0)</f>
        <v>0</v>
      </c>
      <c r="G20" s="19" t="n">
        <f aca="false">IFERROR(G16/G5,0)</f>
        <v>0</v>
      </c>
      <c r="H20" s="19" t="n">
        <f aca="false">IFERROR(H16/H5,0)</f>
        <v>0</v>
      </c>
      <c r="I20" s="19" t="n">
        <f aca="false">IFERROR(I16/I5,0)</f>
        <v>0</v>
      </c>
      <c r="J20" s="19" t="n">
        <f aca="false">IFERROR(J16/J5,0)</f>
        <v>0</v>
      </c>
      <c r="K20" s="19" t="n">
        <f aca="false">IFERROR(K16/K5,0)</f>
        <v>0</v>
      </c>
      <c r="L20" s="19" t="n">
        <f aca="false">IFERROR(L16/L5,0)</f>
        <v>0</v>
      </c>
      <c r="M20" s="19" t="n">
        <f aca="false">IFERROR(M16/M5,0)</f>
        <v>0</v>
      </c>
      <c r="N20" s="20" t="n">
        <f aca="false">M20</f>
        <v>0</v>
      </c>
    </row>
    <row r="22" customFormat="false" ht="15" hidden="false" customHeight="false" outlineLevel="0" collapsed="false">
      <c r="A22" s="5" t="s">
        <v>143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4"/>
    <col collapsed="false" customWidth="true" hidden="false" outlineLevel="0" max="14" min="2" style="0" width="11"/>
  </cols>
  <sheetData>
    <row r="1" customFormat="false" ht="17.35" hidden="false" customHeight="false" outlineLevel="0" collapsed="false">
      <c r="A1" s="1" t="s">
        <v>144</v>
      </c>
    </row>
    <row r="3" customFormat="false" ht="28.35" hidden="false" customHeight="false" outlineLevel="0" collapsed="false">
      <c r="A3" s="2" t="s">
        <v>112</v>
      </c>
      <c r="B3" s="2" t="s">
        <v>113</v>
      </c>
      <c r="C3" s="2" t="s">
        <v>114</v>
      </c>
      <c r="D3" s="2" t="s">
        <v>115</v>
      </c>
      <c r="E3" s="2" t="s">
        <v>116</v>
      </c>
      <c r="F3" s="2" t="s">
        <v>117</v>
      </c>
      <c r="G3" s="2" t="s">
        <v>118</v>
      </c>
      <c r="H3" s="2" t="s">
        <v>119</v>
      </c>
      <c r="I3" s="2" t="s">
        <v>120</v>
      </c>
      <c r="J3" s="2" t="s">
        <v>121</v>
      </c>
      <c r="K3" s="2" t="s">
        <v>122</v>
      </c>
      <c r="L3" s="2" t="s">
        <v>123</v>
      </c>
      <c r="M3" s="2" t="s">
        <v>124</v>
      </c>
      <c r="N3" s="2" t="s">
        <v>125</v>
      </c>
    </row>
    <row r="4" customFormat="false" ht="15" hidden="false" customHeight="false" outlineLevel="0" collapsed="false">
      <c r="A4" s="15" t="s">
        <v>126</v>
      </c>
      <c r="B4" s="16" t="n">
        <f aca="false">Assumptions!$D$4*(1+Assumptions!$D$5)^(1-1)</f>
        <v>300</v>
      </c>
      <c r="C4" s="16" t="n">
        <f aca="false">Assumptions!$D$4*(1+Assumptions!$D$5)^(2-1)</f>
        <v>360</v>
      </c>
      <c r="D4" s="16" t="n">
        <f aca="false">Assumptions!$D$4*(1+Assumptions!$D$5)^(3-1)</f>
        <v>432</v>
      </c>
      <c r="E4" s="16" t="n">
        <f aca="false">Assumptions!$D$4*(1+Assumptions!$D$5)^(4-1)</f>
        <v>518.4</v>
      </c>
      <c r="F4" s="16" t="n">
        <f aca="false">Assumptions!$D$4*(1+Assumptions!$D$5)^(5-1)</f>
        <v>622.08</v>
      </c>
      <c r="G4" s="16" t="n">
        <f aca="false">Assumptions!$D$4*(1+Assumptions!$D$5)^(6-1)</f>
        <v>746.496</v>
      </c>
      <c r="H4" s="16" t="n">
        <f aca="false">Assumptions!$D$4*(1+Assumptions!$D$5)^(7-1)</f>
        <v>895.7952</v>
      </c>
      <c r="I4" s="16" t="n">
        <f aca="false">Assumptions!$D$4*(1+Assumptions!$D$5)^(8-1)</f>
        <v>1074.95424</v>
      </c>
      <c r="J4" s="16" t="n">
        <f aca="false">Assumptions!$D$4*(1+Assumptions!$D$5)^(9-1)</f>
        <v>1289.945088</v>
      </c>
      <c r="K4" s="16" t="n">
        <f aca="false">Assumptions!$D$4*(1+Assumptions!$D$5)^(10-1)</f>
        <v>1547.9341056</v>
      </c>
      <c r="L4" s="16" t="n">
        <f aca="false">Assumptions!$D$4*(1+Assumptions!$D$5)^(11-1)</f>
        <v>1857.52092672</v>
      </c>
      <c r="M4" s="16" t="n">
        <f aca="false">Assumptions!$D$4*(1+Assumptions!$D$5)^(12-1)</f>
        <v>2229.025112064</v>
      </c>
      <c r="N4" s="17" t="n">
        <f aca="false">SUM(B4:M4)</f>
        <v>11874.150672384</v>
      </c>
    </row>
    <row r="5" customFormat="false" ht="15" hidden="false" customHeight="false" outlineLevel="0" collapsed="false">
      <c r="A5" s="15" t="s">
        <v>127</v>
      </c>
      <c r="B5" s="16" t="n">
        <f aca="false">B4*Assumptions!$D$6</f>
        <v>24</v>
      </c>
      <c r="C5" s="16" t="n">
        <f aca="false">C4*Assumptions!$D$6</f>
        <v>28.8</v>
      </c>
      <c r="D5" s="16" t="n">
        <f aca="false">D4*Assumptions!$D$6</f>
        <v>34.56</v>
      </c>
      <c r="E5" s="16" t="n">
        <f aca="false">E4*Assumptions!$D$6</f>
        <v>41.472</v>
      </c>
      <c r="F5" s="16" t="n">
        <f aca="false">F4*Assumptions!$D$6</f>
        <v>49.7664</v>
      </c>
      <c r="G5" s="16" t="n">
        <f aca="false">G4*Assumptions!$D$6</f>
        <v>59.71968</v>
      </c>
      <c r="H5" s="16" t="n">
        <f aca="false">H4*Assumptions!$D$6</f>
        <v>71.663616</v>
      </c>
      <c r="I5" s="16" t="n">
        <f aca="false">I4*Assumptions!$D$6</f>
        <v>85.9963392</v>
      </c>
      <c r="J5" s="16" t="n">
        <f aca="false">J4*Assumptions!$D$6</f>
        <v>103.19560704</v>
      </c>
      <c r="K5" s="16" t="n">
        <f aca="false">K4*Assumptions!$D$6</f>
        <v>123.834728448</v>
      </c>
      <c r="L5" s="16" t="n">
        <f aca="false">L4*Assumptions!$D$6</f>
        <v>148.6016741376</v>
      </c>
      <c r="M5" s="16" t="n">
        <f aca="false">M4*Assumptions!$D$6</f>
        <v>178.32200896512</v>
      </c>
      <c r="N5" s="17" t="n">
        <f aca="false">SUM(B5:M5)</f>
        <v>949.93205379072</v>
      </c>
    </row>
    <row r="6" customFormat="false" ht="15" hidden="false" customHeight="false" outlineLevel="0" collapsed="false">
      <c r="A6" s="15" t="s">
        <v>128</v>
      </c>
      <c r="B6" s="16" t="n">
        <f aca="false">B5</f>
        <v>24</v>
      </c>
      <c r="C6" s="16" t="n">
        <f aca="false">B6*Assumptions!$D$7+C5</f>
        <v>42</v>
      </c>
      <c r="D6" s="16" t="n">
        <f aca="false">C6*Assumptions!$D$7+D5</f>
        <v>57.66</v>
      </c>
      <c r="E6" s="16" t="n">
        <f aca="false">D6*Assumptions!$D$7+E5</f>
        <v>73.185</v>
      </c>
      <c r="F6" s="16" t="n">
        <f aca="false">E6*Assumptions!$D$7+F5</f>
        <v>90.01815</v>
      </c>
      <c r="G6" s="16" t="n">
        <f aca="false">F6*Assumptions!$D$7+G5</f>
        <v>109.2296625</v>
      </c>
      <c r="H6" s="16" t="n">
        <f aca="false">G6*Assumptions!$D$7+H5</f>
        <v>131.739930375</v>
      </c>
      <c r="I6" s="16" t="n">
        <f aca="false">H6*Assumptions!$D$7+I5</f>
        <v>158.45330090625</v>
      </c>
      <c r="J6" s="16" t="n">
        <f aca="false">I6*Assumptions!$D$7+J5</f>
        <v>190.344922538437</v>
      </c>
      <c r="K6" s="16" t="n">
        <f aca="false">J6*Assumptions!$D$7+K5</f>
        <v>228.524435844141</v>
      </c>
      <c r="L6" s="16" t="n">
        <f aca="false">K6*Assumptions!$D$7+L5</f>
        <v>274.290113851877</v>
      </c>
      <c r="M6" s="16" t="n">
        <f aca="false">L6*Assumptions!$D$7+M5</f>
        <v>329.181571583652</v>
      </c>
      <c r="N6" s="17" t="n">
        <f aca="false">M6</f>
        <v>329.181571583652</v>
      </c>
    </row>
    <row r="7" customFormat="false" ht="15" hidden="false" customHeight="false" outlineLevel="0" collapsed="false">
      <c r="A7" s="15" t="s">
        <v>129</v>
      </c>
      <c r="B7" s="3" t="n">
        <f aca="false">B6*Assumptions!$D$8</f>
        <v>0.72</v>
      </c>
      <c r="C7" s="3" t="n">
        <f aca="false">C6*Assumptions!$D$8</f>
        <v>1.26</v>
      </c>
      <c r="D7" s="3" t="n">
        <f aca="false">D6*Assumptions!$D$8</f>
        <v>1.7298</v>
      </c>
      <c r="E7" s="3" t="n">
        <f aca="false">E6*Assumptions!$D$8</f>
        <v>2.19555</v>
      </c>
      <c r="F7" s="3" t="n">
        <f aca="false">F6*Assumptions!$D$8</f>
        <v>2.7005445</v>
      </c>
      <c r="G7" s="3" t="n">
        <f aca="false">G6*Assumptions!$D$8</f>
        <v>3.276889875</v>
      </c>
      <c r="H7" s="3" t="n">
        <f aca="false">H6*Assumptions!$D$8</f>
        <v>3.95219791125</v>
      </c>
      <c r="I7" s="3" t="n">
        <f aca="false">I6*Assumptions!$D$8</f>
        <v>4.7535990271875</v>
      </c>
      <c r="J7" s="3" t="n">
        <f aca="false">J6*Assumptions!$D$8</f>
        <v>5.71034767615312</v>
      </c>
      <c r="K7" s="3" t="n">
        <f aca="false">K6*Assumptions!$D$8</f>
        <v>6.85573307532422</v>
      </c>
      <c r="L7" s="3" t="n">
        <f aca="false">L6*Assumptions!$D$8</f>
        <v>8.22870341555632</v>
      </c>
      <c r="M7" s="3" t="n">
        <f aca="false">M6*Assumptions!$D$8</f>
        <v>9.87544714750957</v>
      </c>
      <c r="N7" s="18" t="n">
        <f aca="false">M7</f>
        <v>9.87544714750957</v>
      </c>
    </row>
    <row r="8" customFormat="false" ht="15" hidden="false" customHeight="false" outlineLevel="0" collapsed="false">
      <c r="A8" s="15" t="s">
        <v>130</v>
      </c>
      <c r="B8" s="19" t="n">
        <f aca="false">B7*Assumptions!$D$9</f>
        <v>1.8</v>
      </c>
      <c r="C8" s="19" t="n">
        <f aca="false">C7*Assumptions!$D$9</f>
        <v>3.15</v>
      </c>
      <c r="D8" s="19" t="n">
        <f aca="false">D7*Assumptions!$D$9</f>
        <v>4.3245</v>
      </c>
      <c r="E8" s="19" t="n">
        <f aca="false">E7*Assumptions!$D$9</f>
        <v>5.488875</v>
      </c>
      <c r="F8" s="19" t="n">
        <f aca="false">F7*Assumptions!$D$9</f>
        <v>6.75136125</v>
      </c>
      <c r="G8" s="19" t="n">
        <f aca="false">G7*Assumptions!$D$9</f>
        <v>8.1922246875</v>
      </c>
      <c r="H8" s="19" t="n">
        <f aca="false">H7*Assumptions!$D$9</f>
        <v>9.880494778125</v>
      </c>
      <c r="I8" s="19" t="n">
        <f aca="false">I7*Assumptions!$D$9</f>
        <v>11.8839975679687</v>
      </c>
      <c r="J8" s="19" t="n">
        <f aca="false">J7*Assumptions!$D$9</f>
        <v>14.2758691903828</v>
      </c>
      <c r="K8" s="19" t="n">
        <f aca="false">K7*Assumptions!$D$9</f>
        <v>17.1393326883105</v>
      </c>
      <c r="L8" s="19" t="n">
        <f aca="false">L7*Assumptions!$D$9</f>
        <v>20.5717585388908</v>
      </c>
      <c r="M8" s="19" t="n">
        <f aca="false">M7*Assumptions!$D$9</f>
        <v>24.6886178687739</v>
      </c>
      <c r="N8" s="20" t="n">
        <f aca="false">SUM(B8:M8)</f>
        <v>128.147031569952</v>
      </c>
    </row>
    <row r="9" customFormat="false" ht="15" hidden="false" customHeight="false" outlineLevel="0" collapsed="false">
      <c r="A9" s="15" t="s">
        <v>131</v>
      </c>
      <c r="B9" s="3" t="n">
        <f aca="false">IF(1&lt;Assumptions!$D$10,0,0*(1-Assumptions!$D$12)+Assumptions!$D$11)</f>
        <v>0</v>
      </c>
      <c r="C9" s="3" t="n">
        <f aca="false">IF(2&lt;Assumptions!$D$10,0,B9*(1-Assumptions!$D$12)+Assumptions!$D$11)</f>
        <v>0</v>
      </c>
      <c r="D9" s="3" t="n">
        <f aca="false">IF(3&lt;Assumptions!$D$10,0,C9*(1-Assumptions!$D$12)+Assumptions!$D$11)</f>
        <v>0</v>
      </c>
      <c r="E9" s="3" t="n">
        <f aca="false">IF(4&lt;Assumptions!$D$10,0,D9*(1-Assumptions!$D$12)+Assumptions!$D$11)</f>
        <v>2</v>
      </c>
      <c r="F9" s="3" t="n">
        <f aca="false">IF(5&lt;Assumptions!$D$10,0,E9*(1-Assumptions!$D$12)+Assumptions!$D$11)</f>
        <v>3.9</v>
      </c>
      <c r="G9" s="3" t="n">
        <f aca="false">IF(6&lt;Assumptions!$D$10,0,F9*(1-Assumptions!$D$12)+Assumptions!$D$11)</f>
        <v>5.705</v>
      </c>
      <c r="H9" s="3" t="n">
        <f aca="false">IF(7&lt;Assumptions!$D$10,0,G9*(1-Assumptions!$D$12)+Assumptions!$D$11)</f>
        <v>7.41975</v>
      </c>
      <c r="I9" s="3" t="n">
        <f aca="false">IF(8&lt;Assumptions!$D$10,0,H9*(1-Assumptions!$D$12)+Assumptions!$D$11)</f>
        <v>9.0487625</v>
      </c>
      <c r="J9" s="3" t="n">
        <f aca="false">IF(9&lt;Assumptions!$D$10,0,I9*(1-Assumptions!$D$12)+Assumptions!$D$11)</f>
        <v>10.596324375</v>
      </c>
      <c r="K9" s="3" t="n">
        <f aca="false">IF(10&lt;Assumptions!$D$10,0,J9*(1-Assumptions!$D$12)+Assumptions!$D$11)</f>
        <v>12.06650815625</v>
      </c>
      <c r="L9" s="3" t="n">
        <f aca="false">IF(11&lt;Assumptions!$D$10,0,K9*(1-Assumptions!$D$12)+Assumptions!$D$11)</f>
        <v>13.4631827484375</v>
      </c>
      <c r="M9" s="3" t="n">
        <f aca="false">IF(12&lt;Assumptions!$D$10,0,L9*(1-Assumptions!$D$12)+Assumptions!$D$11)</f>
        <v>14.7900236110156</v>
      </c>
      <c r="N9" s="18" t="n">
        <f aca="false">M9</f>
        <v>14.7900236110156</v>
      </c>
    </row>
    <row r="10" customFormat="false" ht="15" hidden="false" customHeight="false" outlineLevel="0" collapsed="false">
      <c r="A10" s="15" t="s">
        <v>132</v>
      </c>
      <c r="B10" s="19" t="n">
        <f aca="false">B9*Assumptions!$D$13</f>
        <v>0</v>
      </c>
      <c r="C10" s="19" t="n">
        <f aca="false">C9*Assumptions!$D$13</f>
        <v>0</v>
      </c>
      <c r="D10" s="19" t="n">
        <f aca="false">D9*Assumptions!$D$13</f>
        <v>0</v>
      </c>
      <c r="E10" s="19" t="n">
        <f aca="false">E9*Assumptions!$D$13</f>
        <v>38</v>
      </c>
      <c r="F10" s="19" t="n">
        <f aca="false">F9*Assumptions!$D$13</f>
        <v>74.1</v>
      </c>
      <c r="G10" s="19" t="n">
        <f aca="false">G9*Assumptions!$D$13</f>
        <v>108.395</v>
      </c>
      <c r="H10" s="19" t="n">
        <f aca="false">H9*Assumptions!$D$13</f>
        <v>140.97525</v>
      </c>
      <c r="I10" s="19" t="n">
        <f aca="false">I9*Assumptions!$D$13</f>
        <v>171.9264875</v>
      </c>
      <c r="J10" s="19" t="n">
        <f aca="false">J9*Assumptions!$D$13</f>
        <v>201.330163125</v>
      </c>
      <c r="K10" s="19" t="n">
        <f aca="false">K9*Assumptions!$D$13</f>
        <v>229.26365496875</v>
      </c>
      <c r="L10" s="19" t="n">
        <f aca="false">L9*Assumptions!$D$13</f>
        <v>255.800472220312</v>
      </c>
      <c r="M10" s="19" t="n">
        <f aca="false">M9*Assumptions!$D$13</f>
        <v>281.010448609297</v>
      </c>
      <c r="N10" s="20" t="n">
        <f aca="false">SUM(B10:M10)</f>
        <v>1500.80147642336</v>
      </c>
    </row>
    <row r="11" customFormat="false" ht="15" hidden="false" customHeight="false" outlineLevel="0" collapsed="false">
      <c r="A11" s="15" t="s">
        <v>133</v>
      </c>
      <c r="B11" s="19" t="n">
        <f aca="false">B6*Assumptions!$D$14</f>
        <v>0.72</v>
      </c>
      <c r="C11" s="19" t="n">
        <f aca="false">C6*Assumptions!$D$14</f>
        <v>1.26</v>
      </c>
      <c r="D11" s="19" t="n">
        <f aca="false">D6*Assumptions!$D$14</f>
        <v>1.7298</v>
      </c>
      <c r="E11" s="19" t="n">
        <f aca="false">E6*Assumptions!$D$14</f>
        <v>2.19555</v>
      </c>
      <c r="F11" s="19" t="n">
        <f aca="false">F6*Assumptions!$D$14</f>
        <v>2.7005445</v>
      </c>
      <c r="G11" s="19" t="n">
        <f aca="false">G6*Assumptions!$D$14</f>
        <v>3.276889875</v>
      </c>
      <c r="H11" s="19" t="n">
        <f aca="false">H6*Assumptions!$D$14</f>
        <v>3.95219791125</v>
      </c>
      <c r="I11" s="19" t="n">
        <f aca="false">I6*Assumptions!$D$14</f>
        <v>4.7535990271875</v>
      </c>
      <c r="J11" s="19" t="n">
        <f aca="false">J6*Assumptions!$D$14</f>
        <v>5.71034767615312</v>
      </c>
      <c r="K11" s="19" t="n">
        <f aca="false">K6*Assumptions!$D$14</f>
        <v>6.85573307532422</v>
      </c>
      <c r="L11" s="19" t="n">
        <f aca="false">L6*Assumptions!$D$14</f>
        <v>8.22870341555632</v>
      </c>
      <c r="M11" s="19" t="n">
        <f aca="false">M6*Assumptions!$D$14</f>
        <v>9.87544714750957</v>
      </c>
      <c r="N11" s="20" t="n">
        <f aca="false">SUM(B11:M11)</f>
        <v>51.2588126279807</v>
      </c>
    </row>
    <row r="12" customFormat="false" ht="15" hidden="false" customHeight="false" outlineLevel="0" collapsed="false">
      <c r="A12" s="12" t="s">
        <v>134</v>
      </c>
      <c r="B12" s="19" t="n">
        <f aca="false">B8+B10+B11</f>
        <v>2.52</v>
      </c>
      <c r="C12" s="19" t="n">
        <f aca="false">C8+C10+C11</f>
        <v>4.41</v>
      </c>
      <c r="D12" s="19" t="n">
        <f aca="false">D8+D10+D11</f>
        <v>6.0543</v>
      </c>
      <c r="E12" s="19" t="n">
        <f aca="false">E8+E10+E11</f>
        <v>45.684425</v>
      </c>
      <c r="F12" s="19" t="n">
        <f aca="false">F8+F10+F11</f>
        <v>83.55190575</v>
      </c>
      <c r="G12" s="19" t="n">
        <f aca="false">G8+G10+G11</f>
        <v>119.8641145625</v>
      </c>
      <c r="H12" s="19" t="n">
        <f aca="false">H8+H10+H11</f>
        <v>154.807942689375</v>
      </c>
      <c r="I12" s="19" t="n">
        <f aca="false">I8+I10+I11</f>
        <v>188.564084095156</v>
      </c>
      <c r="J12" s="19" t="n">
        <f aca="false">J8+J10+J11</f>
        <v>221.316379991536</v>
      </c>
      <c r="K12" s="19" t="n">
        <f aca="false">K8+K10+K11</f>
        <v>253.258720732385</v>
      </c>
      <c r="L12" s="19" t="n">
        <f aca="false">L8+L10+L11</f>
        <v>284.60093417476</v>
      </c>
      <c r="M12" s="19" t="n">
        <f aca="false">M8+M10+M11</f>
        <v>315.57451362558</v>
      </c>
      <c r="N12" s="20" t="n">
        <f aca="false">SUM(B12:M12)</f>
        <v>1680.20732062129</v>
      </c>
    </row>
    <row r="13" customFormat="false" ht="15" hidden="false" customHeight="false" outlineLevel="0" collapsed="false">
      <c r="A13" s="15" t="s">
        <v>135</v>
      </c>
      <c r="B13" s="19" t="n">
        <f aca="false">(B8+B10)*Assumptions!$D$21</f>
        <v>0.108</v>
      </c>
      <c r="C13" s="19" t="n">
        <f aca="false">(C8+C10)*Assumptions!$D$21</f>
        <v>0.189</v>
      </c>
      <c r="D13" s="19" t="n">
        <f aca="false">(D8+D10)*Assumptions!$D$21</f>
        <v>0.25947</v>
      </c>
      <c r="E13" s="19" t="n">
        <f aca="false">(E8+E10)*Assumptions!$D$21</f>
        <v>2.6093325</v>
      </c>
      <c r="F13" s="19" t="n">
        <f aca="false">(F8+F10)*Assumptions!$D$21</f>
        <v>4.851081675</v>
      </c>
      <c r="G13" s="19" t="n">
        <f aca="false">(G8+G10)*Assumptions!$D$21</f>
        <v>6.99523348125</v>
      </c>
      <c r="H13" s="19" t="n">
        <f aca="false">(H8+H10)*Assumptions!$D$21</f>
        <v>9.0513446866875</v>
      </c>
      <c r="I13" s="19" t="n">
        <f aca="false">(I8+I10)*Assumptions!$D$21</f>
        <v>11.0286291040781</v>
      </c>
      <c r="J13" s="19" t="n">
        <f aca="false">(J8+J10)*Assumptions!$D$21</f>
        <v>12.936361938923</v>
      </c>
      <c r="K13" s="19" t="n">
        <f aca="false">(K8+K10)*Assumptions!$D$21</f>
        <v>14.7841792594236</v>
      </c>
      <c r="L13" s="19" t="n">
        <f aca="false">(L8+L10)*Assumptions!$D$21</f>
        <v>16.5823338455522</v>
      </c>
      <c r="M13" s="19" t="n">
        <f aca="false">(M8+M10)*Assumptions!$D$21</f>
        <v>18.3419439886842</v>
      </c>
      <c r="N13" s="20" t="n">
        <f aca="false">SUM(B13:M13)</f>
        <v>97.7369104795987</v>
      </c>
    </row>
    <row r="14" customFormat="false" ht="15" hidden="false" customHeight="false" outlineLevel="0" collapsed="false">
      <c r="A14" s="15" t="s">
        <v>136</v>
      </c>
      <c r="B14" s="19" t="n">
        <f aca="false">B6*Assumptions!$D$15+B9*Assumptions!$D$16</f>
        <v>6.48</v>
      </c>
      <c r="C14" s="19" t="n">
        <f aca="false">C6*Assumptions!$D$15+C9*Assumptions!$D$16</f>
        <v>11.34</v>
      </c>
      <c r="D14" s="19" t="n">
        <f aca="false">D6*Assumptions!$D$15+D9*Assumptions!$D$16</f>
        <v>15.5682</v>
      </c>
      <c r="E14" s="19" t="n">
        <f aca="false">E6*Assumptions!$D$15+E9*Assumptions!$D$16</f>
        <v>22.75995</v>
      </c>
      <c r="F14" s="19" t="n">
        <f aca="false">F6*Assumptions!$D$15+F9*Assumptions!$D$16</f>
        <v>30.1549005</v>
      </c>
      <c r="G14" s="19" t="n">
        <f aca="false">G6*Assumptions!$D$15+G9*Assumptions!$D$16</f>
        <v>38.049508875</v>
      </c>
      <c r="H14" s="19" t="n">
        <f aca="false">H6*Assumptions!$D$15+H9*Assumptions!$D$16</f>
        <v>46.69940620125</v>
      </c>
      <c r="I14" s="19" t="n">
        <f aca="false">I6*Assumptions!$D$15+I9*Assumptions!$D$16</f>
        <v>56.3555349946875</v>
      </c>
      <c r="J14" s="19" t="n">
        <f aca="false">J6*Assumptions!$D$15+J9*Assumptions!$D$16</f>
        <v>67.2876156478781</v>
      </c>
      <c r="K14" s="19" t="n">
        <f aca="false">K6*Assumptions!$D$15+K9*Assumptions!$D$16</f>
        <v>79.801359912293</v>
      </c>
      <c r="L14" s="19" t="n">
        <f aca="false">L6*Assumptions!$D$15+L9*Assumptions!$D$16</f>
        <v>94.2531048626631</v>
      </c>
      <c r="M14" s="19" t="n">
        <f aca="false">M6*Assumptions!$D$15+M9*Assumptions!$D$16</f>
        <v>111.06405974411</v>
      </c>
      <c r="N14" s="20" t="n">
        <f aca="false">SUM(B14:M14)</f>
        <v>579.813640737881</v>
      </c>
    </row>
    <row r="15" customFormat="false" ht="15" hidden="false" customHeight="false" outlineLevel="0" collapsed="false">
      <c r="A15" s="15" t="s">
        <v>137</v>
      </c>
      <c r="B15" s="19" t="n">
        <f aca="false">Assumptions!$D$17+Assumptions!$D$18/12+Assumptions!$D$19</f>
        <v>11.6666666666667</v>
      </c>
      <c r="C15" s="19" t="n">
        <f aca="false">Assumptions!$D$17+Assumptions!$D$18/12+Assumptions!$D$19</f>
        <v>11.6666666666667</v>
      </c>
      <c r="D15" s="19" t="n">
        <f aca="false">Assumptions!$D$17+Assumptions!$D$18/12+Assumptions!$D$19</f>
        <v>11.6666666666667</v>
      </c>
      <c r="E15" s="19" t="n">
        <f aca="false">Assumptions!$D$17+Assumptions!$D$18/12+Assumptions!$D$19</f>
        <v>11.6666666666667</v>
      </c>
      <c r="F15" s="19" t="n">
        <f aca="false">Assumptions!$D$17+Assumptions!$D$18/12+Assumptions!$D$19</f>
        <v>11.6666666666667</v>
      </c>
      <c r="G15" s="19" t="n">
        <f aca="false">Assumptions!$D$17+Assumptions!$D$18/12+Assumptions!$D$19</f>
        <v>11.6666666666667</v>
      </c>
      <c r="H15" s="19" t="n">
        <f aca="false">Assumptions!$D$17+Assumptions!$D$18/12+Assumptions!$D$19</f>
        <v>11.6666666666667</v>
      </c>
      <c r="I15" s="19" t="n">
        <f aca="false">Assumptions!$D$17+Assumptions!$D$18/12+Assumptions!$D$19</f>
        <v>11.6666666666667</v>
      </c>
      <c r="J15" s="19" t="n">
        <f aca="false">Assumptions!$D$17+Assumptions!$D$18/12+Assumptions!$D$19</f>
        <v>11.6666666666667</v>
      </c>
      <c r="K15" s="19" t="n">
        <f aca="false">Assumptions!$D$17+Assumptions!$D$18/12+Assumptions!$D$19</f>
        <v>11.6666666666667</v>
      </c>
      <c r="L15" s="19" t="n">
        <f aca="false">Assumptions!$D$17+Assumptions!$D$18/12+Assumptions!$D$19</f>
        <v>11.6666666666667</v>
      </c>
      <c r="M15" s="19" t="n">
        <f aca="false">Assumptions!$D$17+Assumptions!$D$18/12+Assumptions!$D$19</f>
        <v>11.6666666666667</v>
      </c>
      <c r="N15" s="20" t="n">
        <f aca="false">SUM(B15:M15)</f>
        <v>140</v>
      </c>
    </row>
    <row r="16" customFormat="false" ht="15" hidden="false" customHeight="false" outlineLevel="0" collapsed="false">
      <c r="A16" s="15" t="s">
        <v>138</v>
      </c>
      <c r="B16" s="19" t="n">
        <f aca="false">Assumptions!$D$20</f>
        <v>50</v>
      </c>
      <c r="C16" s="19" t="n">
        <f aca="false">Assumptions!$D$20</f>
        <v>50</v>
      </c>
      <c r="D16" s="19" t="n">
        <f aca="false">Assumptions!$D$20</f>
        <v>50</v>
      </c>
      <c r="E16" s="19" t="n">
        <f aca="false">Assumptions!$D$20</f>
        <v>50</v>
      </c>
      <c r="F16" s="19" t="n">
        <f aca="false">Assumptions!$D$20</f>
        <v>50</v>
      </c>
      <c r="G16" s="19" t="n">
        <f aca="false">Assumptions!$D$20</f>
        <v>50</v>
      </c>
      <c r="H16" s="19" t="n">
        <f aca="false">Assumptions!$D$20</f>
        <v>50</v>
      </c>
      <c r="I16" s="19" t="n">
        <f aca="false">Assumptions!$D$20</f>
        <v>50</v>
      </c>
      <c r="J16" s="19" t="n">
        <f aca="false">Assumptions!$D$20</f>
        <v>50</v>
      </c>
      <c r="K16" s="19" t="n">
        <f aca="false">Assumptions!$D$20</f>
        <v>50</v>
      </c>
      <c r="L16" s="19" t="n">
        <f aca="false">Assumptions!$D$20</f>
        <v>50</v>
      </c>
      <c r="M16" s="19" t="n">
        <f aca="false">Assumptions!$D$20</f>
        <v>50</v>
      </c>
      <c r="N16" s="20" t="n">
        <f aca="false">SUM(B16:M16)</f>
        <v>600</v>
      </c>
    </row>
    <row r="17" customFormat="false" ht="15" hidden="false" customHeight="false" outlineLevel="0" collapsed="false">
      <c r="A17" s="12" t="s">
        <v>139</v>
      </c>
      <c r="B17" s="19" t="n">
        <f aca="false">SUM(B13:B16)</f>
        <v>68.2546666666667</v>
      </c>
      <c r="C17" s="19" t="n">
        <f aca="false">SUM(C13:C16)</f>
        <v>73.1956666666667</v>
      </c>
      <c r="D17" s="19" t="n">
        <f aca="false">SUM(D13:D16)</f>
        <v>77.4943366666667</v>
      </c>
      <c r="E17" s="19" t="n">
        <f aca="false">SUM(E13:E16)</f>
        <v>87.0359491666667</v>
      </c>
      <c r="F17" s="19" t="n">
        <f aca="false">SUM(F13:F16)</f>
        <v>96.6726488416667</v>
      </c>
      <c r="G17" s="19" t="n">
        <f aca="false">SUM(G13:G16)</f>
        <v>106.711409022917</v>
      </c>
      <c r="H17" s="19" t="n">
        <f aca="false">SUM(H13:H16)</f>
        <v>117.417417554604</v>
      </c>
      <c r="I17" s="19" t="n">
        <f aca="false">SUM(I13:I16)</f>
        <v>129.050830765432</v>
      </c>
      <c r="J17" s="19" t="n">
        <f aca="false">SUM(J13:J16)</f>
        <v>141.890644253468</v>
      </c>
      <c r="K17" s="19" t="n">
        <f aca="false">SUM(K13:K16)</f>
        <v>156.252205838383</v>
      </c>
      <c r="L17" s="19" t="n">
        <f aca="false">SUM(L13:L16)</f>
        <v>172.502105374882</v>
      </c>
      <c r="M17" s="19" t="n">
        <f aca="false">SUM(M13:M16)</f>
        <v>191.072670399461</v>
      </c>
      <c r="N17" s="20" t="n">
        <f aca="false">SUM(B17:M17)</f>
        <v>1417.55055121748</v>
      </c>
    </row>
    <row r="18" customFormat="false" ht="15" hidden="false" customHeight="false" outlineLevel="0" collapsed="false">
      <c r="A18" s="12" t="s">
        <v>140</v>
      </c>
      <c r="B18" s="19" t="n">
        <f aca="false">B12-B17</f>
        <v>-65.7346666666667</v>
      </c>
      <c r="C18" s="19" t="n">
        <f aca="false">C12-C17</f>
        <v>-68.7856666666667</v>
      </c>
      <c r="D18" s="19" t="n">
        <f aca="false">D12-D17</f>
        <v>-71.4400366666667</v>
      </c>
      <c r="E18" s="19" t="n">
        <f aca="false">E12-E17</f>
        <v>-41.3515241666667</v>
      </c>
      <c r="F18" s="19" t="n">
        <f aca="false">F12-F17</f>
        <v>-13.1207430916667</v>
      </c>
      <c r="G18" s="19" t="n">
        <f aca="false">G12-G17</f>
        <v>13.1527055395833</v>
      </c>
      <c r="H18" s="19" t="n">
        <f aca="false">H12-H17</f>
        <v>37.3905251347708</v>
      </c>
      <c r="I18" s="19" t="n">
        <f aca="false">I12-I17</f>
        <v>59.5132533297239</v>
      </c>
      <c r="J18" s="19" t="n">
        <f aca="false">J12-J17</f>
        <v>79.4257357380682</v>
      </c>
      <c r="K18" s="19" t="n">
        <f aca="false">K12-K17</f>
        <v>97.0065148940015</v>
      </c>
      <c r="L18" s="19" t="n">
        <f aca="false">L12-L17</f>
        <v>112.098828799878</v>
      </c>
      <c r="M18" s="19" t="n">
        <f aca="false">M12-M17</f>
        <v>124.50184322612</v>
      </c>
      <c r="N18" s="20" t="n">
        <f aca="false">SUM(B18:M18)</f>
        <v>262.656769403812</v>
      </c>
    </row>
    <row r="19" customFormat="false" ht="15" hidden="false" customHeight="false" outlineLevel="0" collapsed="false">
      <c r="A19" s="15" t="s">
        <v>141</v>
      </c>
      <c r="B19" s="19" t="n">
        <f aca="false">B18</f>
        <v>-65.7346666666667</v>
      </c>
      <c r="C19" s="19" t="n">
        <f aca="false">B19+C18</f>
        <v>-134.520333333333</v>
      </c>
      <c r="D19" s="19" t="n">
        <f aca="false">C19+D18</f>
        <v>-205.96037</v>
      </c>
      <c r="E19" s="19" t="n">
        <f aca="false">D19+E18</f>
        <v>-247.311894166667</v>
      </c>
      <c r="F19" s="19" t="n">
        <f aca="false">E19+F18</f>
        <v>-260.432637258333</v>
      </c>
      <c r="G19" s="19" t="n">
        <f aca="false">F19+G18</f>
        <v>-247.27993171875</v>
      </c>
      <c r="H19" s="19" t="n">
        <f aca="false">G19+H18</f>
        <v>-209.889406583979</v>
      </c>
      <c r="I19" s="19" t="n">
        <f aca="false">H19+I18</f>
        <v>-150.376153254255</v>
      </c>
      <c r="J19" s="19" t="n">
        <f aca="false">I19+J18</f>
        <v>-70.9504175161871</v>
      </c>
      <c r="K19" s="19" t="n">
        <f aca="false">J19+K18</f>
        <v>26.0560973778144</v>
      </c>
      <c r="L19" s="19" t="n">
        <f aca="false">K19+L18</f>
        <v>138.154926177692</v>
      </c>
      <c r="M19" s="19" t="n">
        <f aca="false">L19+M18</f>
        <v>262.656769403812</v>
      </c>
      <c r="N19" s="20" t="n">
        <f aca="false">M19</f>
        <v>262.656769403812</v>
      </c>
    </row>
    <row r="20" customFormat="false" ht="15" hidden="false" customHeight="false" outlineLevel="0" collapsed="false">
      <c r="A20" s="15" t="s">
        <v>142</v>
      </c>
      <c r="B20" s="19" t="n">
        <f aca="false">IFERROR(B16/B5,0)</f>
        <v>2.08333333333333</v>
      </c>
      <c r="C20" s="19" t="n">
        <f aca="false">IFERROR(C16/C5,0)</f>
        <v>1.73611111111111</v>
      </c>
      <c r="D20" s="19" t="n">
        <f aca="false">IFERROR(D16/D5,0)</f>
        <v>1.44675925925926</v>
      </c>
      <c r="E20" s="19" t="n">
        <f aca="false">IFERROR(E16/E5,0)</f>
        <v>1.20563271604938</v>
      </c>
      <c r="F20" s="19" t="n">
        <f aca="false">IFERROR(F16/F5,0)</f>
        <v>1.00469393004115</v>
      </c>
      <c r="G20" s="19" t="n">
        <f aca="false">IFERROR(G16/G5,0)</f>
        <v>0.83724494170096</v>
      </c>
      <c r="H20" s="19" t="n">
        <f aca="false">IFERROR(H16/H5,0)</f>
        <v>0.697704118084134</v>
      </c>
      <c r="I20" s="19" t="n">
        <f aca="false">IFERROR(I16/I5,0)</f>
        <v>0.581420098403445</v>
      </c>
      <c r="J20" s="19" t="n">
        <f aca="false">IFERROR(J16/J5,0)</f>
        <v>0.484516748669537</v>
      </c>
      <c r="K20" s="19" t="n">
        <f aca="false">IFERROR(K16/K5,0)</f>
        <v>0.403763957224614</v>
      </c>
      <c r="L20" s="19" t="n">
        <f aca="false">IFERROR(L16/L5,0)</f>
        <v>0.336469964353845</v>
      </c>
      <c r="M20" s="19" t="n">
        <f aca="false">IFERROR(M16/M5,0)</f>
        <v>0.280391636961538</v>
      </c>
      <c r="N20" s="20" t="n">
        <f aca="false">M20</f>
        <v>0.280391636961538</v>
      </c>
    </row>
    <row r="22" customFormat="false" ht="15" hidden="false" customHeight="false" outlineLevel="0" collapsed="false">
      <c r="A22" s="5" t="s">
        <v>143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4"/>
    <col collapsed="false" customWidth="true" hidden="false" outlineLevel="0" max="14" min="2" style="0" width="11"/>
  </cols>
  <sheetData>
    <row r="1" customFormat="false" ht="17.35" hidden="false" customHeight="false" outlineLevel="0" collapsed="false">
      <c r="A1" s="1" t="s">
        <v>145</v>
      </c>
    </row>
    <row r="3" customFormat="false" ht="28.35" hidden="false" customHeight="false" outlineLevel="0" collapsed="false">
      <c r="A3" s="2" t="s">
        <v>112</v>
      </c>
      <c r="B3" s="2" t="s">
        <v>113</v>
      </c>
      <c r="C3" s="2" t="s">
        <v>114</v>
      </c>
      <c r="D3" s="2" t="s">
        <v>115</v>
      </c>
      <c r="E3" s="2" t="s">
        <v>116</v>
      </c>
      <c r="F3" s="2" t="s">
        <v>117</v>
      </c>
      <c r="G3" s="2" t="s">
        <v>118</v>
      </c>
      <c r="H3" s="2" t="s">
        <v>119</v>
      </c>
      <c r="I3" s="2" t="s">
        <v>120</v>
      </c>
      <c r="J3" s="2" t="s">
        <v>121</v>
      </c>
      <c r="K3" s="2" t="s">
        <v>122</v>
      </c>
      <c r="L3" s="2" t="s">
        <v>123</v>
      </c>
      <c r="M3" s="2" t="s">
        <v>124</v>
      </c>
      <c r="N3" s="2" t="s">
        <v>125</v>
      </c>
    </row>
    <row r="4" customFormat="false" ht="15" hidden="false" customHeight="false" outlineLevel="0" collapsed="false">
      <c r="A4" s="15" t="s">
        <v>126</v>
      </c>
      <c r="B4" s="16" t="n">
        <f aca="false">Assumptions!$E$4*(1+Assumptions!$E$5)^(1-1)</f>
        <v>600</v>
      </c>
      <c r="C4" s="16" t="n">
        <f aca="false">Assumptions!$E$4*(1+Assumptions!$E$5)^(2-1)</f>
        <v>780</v>
      </c>
      <c r="D4" s="16" t="n">
        <f aca="false">Assumptions!$E$4*(1+Assumptions!$E$5)^(3-1)</f>
        <v>1014</v>
      </c>
      <c r="E4" s="16" t="n">
        <f aca="false">Assumptions!$E$4*(1+Assumptions!$E$5)^(4-1)</f>
        <v>1318.2</v>
      </c>
      <c r="F4" s="16" t="n">
        <f aca="false">Assumptions!$E$4*(1+Assumptions!$E$5)^(5-1)</f>
        <v>1713.66</v>
      </c>
      <c r="G4" s="16" t="n">
        <f aca="false">Assumptions!$E$4*(1+Assumptions!$E$5)^(6-1)</f>
        <v>2227.758</v>
      </c>
      <c r="H4" s="16" t="n">
        <f aca="false">Assumptions!$E$4*(1+Assumptions!$E$5)^(7-1)</f>
        <v>2896.0854</v>
      </c>
      <c r="I4" s="16" t="n">
        <f aca="false">Assumptions!$E$4*(1+Assumptions!$E$5)^(8-1)</f>
        <v>3764.91102</v>
      </c>
      <c r="J4" s="16" t="n">
        <f aca="false">Assumptions!$E$4*(1+Assumptions!$E$5)^(9-1)</f>
        <v>4894.384326</v>
      </c>
      <c r="K4" s="16" t="n">
        <f aca="false">Assumptions!$E$4*(1+Assumptions!$E$5)^(10-1)</f>
        <v>6362.6996238</v>
      </c>
      <c r="L4" s="16" t="n">
        <f aca="false">Assumptions!$E$4*(1+Assumptions!$E$5)^(11-1)</f>
        <v>8271.50951094</v>
      </c>
      <c r="M4" s="16" t="n">
        <f aca="false">Assumptions!$E$4*(1+Assumptions!$E$5)^(12-1)</f>
        <v>10752.962364222</v>
      </c>
      <c r="N4" s="17" t="n">
        <f aca="false">SUM(B4:M4)</f>
        <v>44596.170244962</v>
      </c>
    </row>
    <row r="5" customFormat="false" ht="15" hidden="false" customHeight="false" outlineLevel="0" collapsed="false">
      <c r="A5" s="15" t="s">
        <v>127</v>
      </c>
      <c r="B5" s="16" t="n">
        <f aca="false">B4*Assumptions!$E$6</f>
        <v>72</v>
      </c>
      <c r="C5" s="16" t="n">
        <f aca="false">C4*Assumptions!$E$6</f>
        <v>93.6</v>
      </c>
      <c r="D5" s="16" t="n">
        <f aca="false">D4*Assumptions!$E$6</f>
        <v>121.68</v>
      </c>
      <c r="E5" s="16" t="n">
        <f aca="false">E4*Assumptions!$E$6</f>
        <v>158.184</v>
      </c>
      <c r="F5" s="16" t="n">
        <f aca="false">F4*Assumptions!$E$6</f>
        <v>205.6392</v>
      </c>
      <c r="G5" s="16" t="n">
        <f aca="false">G4*Assumptions!$E$6</f>
        <v>267.33096</v>
      </c>
      <c r="H5" s="16" t="n">
        <f aca="false">H4*Assumptions!$E$6</f>
        <v>347.530248</v>
      </c>
      <c r="I5" s="16" t="n">
        <f aca="false">I4*Assumptions!$E$6</f>
        <v>451.7893224</v>
      </c>
      <c r="J5" s="16" t="n">
        <f aca="false">J4*Assumptions!$E$6</f>
        <v>587.32611912</v>
      </c>
      <c r="K5" s="16" t="n">
        <f aca="false">K4*Assumptions!$E$6</f>
        <v>763.523954856</v>
      </c>
      <c r="L5" s="16" t="n">
        <f aca="false">L4*Assumptions!$E$6</f>
        <v>992.5811413128</v>
      </c>
      <c r="M5" s="16" t="n">
        <f aca="false">M4*Assumptions!$E$6</f>
        <v>1290.35548370664</v>
      </c>
      <c r="N5" s="17" t="n">
        <f aca="false">SUM(B5:M5)</f>
        <v>5351.54042939544</v>
      </c>
    </row>
    <row r="6" customFormat="false" ht="15" hidden="false" customHeight="false" outlineLevel="0" collapsed="false">
      <c r="A6" s="15" t="s">
        <v>128</v>
      </c>
      <c r="B6" s="16" t="n">
        <f aca="false">B5</f>
        <v>72</v>
      </c>
      <c r="C6" s="16" t="n">
        <f aca="false">B6*Assumptions!$E$7+C5</f>
        <v>140.4</v>
      </c>
      <c r="D6" s="16" t="n">
        <f aca="false">C6*Assumptions!$E$7+D5</f>
        <v>212.94</v>
      </c>
      <c r="E6" s="16" t="n">
        <f aca="false">D6*Assumptions!$E$7+E5</f>
        <v>296.595</v>
      </c>
      <c r="F6" s="16" t="n">
        <f aca="false">E6*Assumptions!$E$7+F5</f>
        <v>398.42595</v>
      </c>
      <c r="G6" s="16" t="n">
        <f aca="false">F6*Assumptions!$E$7+G5</f>
        <v>526.3078275</v>
      </c>
      <c r="H6" s="16" t="n">
        <f aca="false">G6*Assumptions!$E$7+H5</f>
        <v>689.630335875</v>
      </c>
      <c r="I6" s="16" t="n">
        <f aca="false">H6*Assumptions!$E$7+I5</f>
        <v>900.04904071875</v>
      </c>
      <c r="J6" s="16" t="n">
        <f aca="false">I6*Assumptions!$E$7+J5</f>
        <v>1172.35799558719</v>
      </c>
      <c r="K6" s="16" t="n">
        <f aca="false">J6*Assumptions!$E$7+K5</f>
        <v>1525.55665198767</v>
      </c>
      <c r="L6" s="16" t="n">
        <f aca="false">K6*Assumptions!$E$7+L5</f>
        <v>1984.19296510479</v>
      </c>
      <c r="M6" s="16" t="n">
        <f aca="false">L6*Assumptions!$E$7+M5</f>
        <v>2580.08091102475</v>
      </c>
      <c r="N6" s="17" t="n">
        <f aca="false">M6</f>
        <v>2580.08091102475</v>
      </c>
    </row>
    <row r="7" customFormat="false" ht="15" hidden="false" customHeight="false" outlineLevel="0" collapsed="false">
      <c r="A7" s="15" t="s">
        <v>129</v>
      </c>
      <c r="B7" s="3" t="n">
        <f aca="false">B6*Assumptions!$E$8</f>
        <v>3.6</v>
      </c>
      <c r="C7" s="3" t="n">
        <f aca="false">C6*Assumptions!$E$8</f>
        <v>7.02</v>
      </c>
      <c r="D7" s="3" t="n">
        <f aca="false">D6*Assumptions!$E$8</f>
        <v>10.647</v>
      </c>
      <c r="E7" s="3" t="n">
        <f aca="false">E6*Assumptions!$E$8</f>
        <v>14.82975</v>
      </c>
      <c r="F7" s="3" t="n">
        <f aca="false">F6*Assumptions!$E$8</f>
        <v>19.9212975</v>
      </c>
      <c r="G7" s="3" t="n">
        <f aca="false">G6*Assumptions!$E$8</f>
        <v>26.315391375</v>
      </c>
      <c r="H7" s="3" t="n">
        <f aca="false">H6*Assumptions!$E$8</f>
        <v>34.48151679375</v>
      </c>
      <c r="I7" s="3" t="n">
        <f aca="false">I6*Assumptions!$E$8</f>
        <v>45.0024520359375</v>
      </c>
      <c r="J7" s="3" t="n">
        <f aca="false">J6*Assumptions!$E$8</f>
        <v>58.6178997793594</v>
      </c>
      <c r="K7" s="3" t="n">
        <f aca="false">K6*Assumptions!$E$8</f>
        <v>76.2778325993836</v>
      </c>
      <c r="L7" s="3" t="n">
        <f aca="false">L6*Assumptions!$E$8</f>
        <v>99.2096482552394</v>
      </c>
      <c r="M7" s="3" t="n">
        <f aca="false">M6*Assumptions!$E$8</f>
        <v>129.004045551238</v>
      </c>
      <c r="N7" s="18" t="n">
        <f aca="false">M7</f>
        <v>129.004045551238</v>
      </c>
    </row>
    <row r="8" customFormat="false" ht="15" hidden="false" customHeight="false" outlineLevel="0" collapsed="false">
      <c r="A8" s="15" t="s">
        <v>130</v>
      </c>
      <c r="B8" s="19" t="n">
        <f aca="false">B7*Assumptions!$E$9</f>
        <v>10.8</v>
      </c>
      <c r="C8" s="19" t="n">
        <f aca="false">C7*Assumptions!$E$9</f>
        <v>21.06</v>
      </c>
      <c r="D8" s="19" t="n">
        <f aca="false">D7*Assumptions!$E$9</f>
        <v>31.941</v>
      </c>
      <c r="E8" s="19" t="n">
        <f aca="false">E7*Assumptions!$E$9</f>
        <v>44.48925</v>
      </c>
      <c r="F8" s="19" t="n">
        <f aca="false">F7*Assumptions!$E$9</f>
        <v>59.7638925</v>
      </c>
      <c r="G8" s="19" t="n">
        <f aca="false">G7*Assumptions!$E$9</f>
        <v>78.946174125</v>
      </c>
      <c r="H8" s="19" t="n">
        <f aca="false">H7*Assumptions!$E$9</f>
        <v>103.44455038125</v>
      </c>
      <c r="I8" s="19" t="n">
        <f aca="false">I7*Assumptions!$E$9</f>
        <v>135.007356107813</v>
      </c>
      <c r="J8" s="19" t="n">
        <f aca="false">J7*Assumptions!$E$9</f>
        <v>175.853699338078</v>
      </c>
      <c r="K8" s="19" t="n">
        <f aca="false">K7*Assumptions!$E$9</f>
        <v>228.833497798151</v>
      </c>
      <c r="L8" s="19" t="n">
        <f aca="false">L7*Assumptions!$E$9</f>
        <v>297.628944765718</v>
      </c>
      <c r="M8" s="19" t="n">
        <f aca="false">M7*Assumptions!$E$9</f>
        <v>387.012136653713</v>
      </c>
      <c r="N8" s="20" t="n">
        <f aca="false">SUM(B8:M8)</f>
        <v>1574.78050166972</v>
      </c>
    </row>
    <row r="9" customFormat="false" ht="15" hidden="false" customHeight="false" outlineLevel="0" collapsed="false">
      <c r="A9" s="15" t="s">
        <v>131</v>
      </c>
      <c r="B9" s="3" t="n">
        <f aca="false">IF(1&lt;Assumptions!$E$10,0,0*(1-Assumptions!$E$12)+Assumptions!$E$11)</f>
        <v>0</v>
      </c>
      <c r="C9" s="3" t="n">
        <f aca="false">IF(2&lt;Assumptions!$E$10,0,B9*(1-Assumptions!$E$12)+Assumptions!$E$11)</f>
        <v>0</v>
      </c>
      <c r="D9" s="3" t="n">
        <f aca="false">IF(3&lt;Assumptions!$E$10,0,C9*(1-Assumptions!$E$12)+Assumptions!$E$11)</f>
        <v>0</v>
      </c>
      <c r="E9" s="3" t="n">
        <f aca="false">IF(4&lt;Assumptions!$E$10,0,D9*(1-Assumptions!$E$12)+Assumptions!$E$11)</f>
        <v>4</v>
      </c>
      <c r="F9" s="3" t="n">
        <f aca="false">IF(5&lt;Assumptions!$E$10,0,E9*(1-Assumptions!$E$12)+Assumptions!$E$11)</f>
        <v>7.84</v>
      </c>
      <c r="G9" s="3" t="n">
        <f aca="false">IF(6&lt;Assumptions!$E$10,0,F9*(1-Assumptions!$E$12)+Assumptions!$E$11)</f>
        <v>11.5264</v>
      </c>
      <c r="H9" s="3" t="n">
        <f aca="false">IF(7&lt;Assumptions!$E$10,0,G9*(1-Assumptions!$E$12)+Assumptions!$E$11)</f>
        <v>15.065344</v>
      </c>
      <c r="I9" s="3" t="n">
        <f aca="false">IF(8&lt;Assumptions!$E$10,0,H9*(1-Assumptions!$E$12)+Assumptions!$E$11)</f>
        <v>18.46273024</v>
      </c>
      <c r="J9" s="3" t="n">
        <f aca="false">IF(9&lt;Assumptions!$E$10,0,I9*(1-Assumptions!$E$12)+Assumptions!$E$11)</f>
        <v>21.7242210304</v>
      </c>
      <c r="K9" s="3" t="n">
        <f aca="false">IF(10&lt;Assumptions!$E$10,0,J9*(1-Assumptions!$E$12)+Assumptions!$E$11)</f>
        <v>24.855252189184</v>
      </c>
      <c r="L9" s="3" t="n">
        <f aca="false">IF(11&lt;Assumptions!$E$10,0,K9*(1-Assumptions!$E$12)+Assumptions!$E$11)</f>
        <v>27.8610421016166</v>
      </c>
      <c r="M9" s="3" t="n">
        <f aca="false">IF(12&lt;Assumptions!$E$10,0,L9*(1-Assumptions!$E$12)+Assumptions!$E$11)</f>
        <v>30.746600417552</v>
      </c>
      <c r="N9" s="18" t="n">
        <f aca="false">M9</f>
        <v>30.746600417552</v>
      </c>
    </row>
    <row r="10" customFormat="false" ht="15" hidden="false" customHeight="false" outlineLevel="0" collapsed="false">
      <c r="A10" s="15" t="s">
        <v>132</v>
      </c>
      <c r="B10" s="19" t="n">
        <f aca="false">B9*Assumptions!$E$13</f>
        <v>0</v>
      </c>
      <c r="C10" s="19" t="n">
        <f aca="false">C9*Assumptions!$E$13</f>
        <v>0</v>
      </c>
      <c r="D10" s="19" t="n">
        <f aca="false">D9*Assumptions!$E$13</f>
        <v>0</v>
      </c>
      <c r="E10" s="19" t="n">
        <f aca="false">E9*Assumptions!$E$13</f>
        <v>76</v>
      </c>
      <c r="F10" s="19" t="n">
        <f aca="false">F9*Assumptions!$E$13</f>
        <v>148.96</v>
      </c>
      <c r="G10" s="19" t="n">
        <f aca="false">G9*Assumptions!$E$13</f>
        <v>219.0016</v>
      </c>
      <c r="H10" s="19" t="n">
        <f aca="false">H9*Assumptions!$E$13</f>
        <v>286.241536</v>
      </c>
      <c r="I10" s="19" t="n">
        <f aca="false">I9*Assumptions!$E$13</f>
        <v>350.79187456</v>
      </c>
      <c r="J10" s="19" t="n">
        <f aca="false">J9*Assumptions!$E$13</f>
        <v>412.7601995776</v>
      </c>
      <c r="K10" s="19" t="n">
        <f aca="false">K9*Assumptions!$E$13</f>
        <v>472.249791594496</v>
      </c>
      <c r="L10" s="19" t="n">
        <f aca="false">L9*Assumptions!$E$13</f>
        <v>529.359799930716</v>
      </c>
      <c r="M10" s="19" t="n">
        <f aca="false">M9*Assumptions!$E$13</f>
        <v>584.185407933488</v>
      </c>
      <c r="N10" s="20" t="n">
        <f aca="false">SUM(B10:M10)</f>
        <v>3079.5502095963</v>
      </c>
    </row>
    <row r="11" customFormat="false" ht="15" hidden="false" customHeight="false" outlineLevel="0" collapsed="false">
      <c r="A11" s="15" t="s">
        <v>133</v>
      </c>
      <c r="B11" s="19" t="n">
        <f aca="false">B6*Assumptions!$E$14</f>
        <v>5.76</v>
      </c>
      <c r="C11" s="19" t="n">
        <f aca="false">C6*Assumptions!$E$14</f>
        <v>11.232</v>
      </c>
      <c r="D11" s="19" t="n">
        <f aca="false">D6*Assumptions!$E$14</f>
        <v>17.0352</v>
      </c>
      <c r="E11" s="19" t="n">
        <f aca="false">E6*Assumptions!$E$14</f>
        <v>23.7276</v>
      </c>
      <c r="F11" s="19" t="n">
        <f aca="false">F6*Assumptions!$E$14</f>
        <v>31.874076</v>
      </c>
      <c r="G11" s="19" t="n">
        <f aca="false">G6*Assumptions!$E$14</f>
        <v>42.1046262</v>
      </c>
      <c r="H11" s="19" t="n">
        <f aca="false">H6*Assumptions!$E$14</f>
        <v>55.17042687</v>
      </c>
      <c r="I11" s="19" t="n">
        <f aca="false">I6*Assumptions!$E$14</f>
        <v>72.0039232575</v>
      </c>
      <c r="J11" s="19" t="n">
        <f aca="false">J6*Assumptions!$E$14</f>
        <v>93.788639646975</v>
      </c>
      <c r="K11" s="19" t="n">
        <f aca="false">K6*Assumptions!$E$14</f>
        <v>122.044532159014</v>
      </c>
      <c r="L11" s="19" t="n">
        <f aca="false">L6*Assumptions!$E$14</f>
        <v>158.735437208383</v>
      </c>
      <c r="M11" s="19" t="n">
        <f aca="false">M6*Assumptions!$E$14</f>
        <v>206.40647288198</v>
      </c>
      <c r="N11" s="20" t="n">
        <f aca="false">SUM(B11:M11)</f>
        <v>839.882934223852</v>
      </c>
    </row>
    <row r="12" customFormat="false" ht="15" hidden="false" customHeight="false" outlineLevel="0" collapsed="false">
      <c r="A12" s="12" t="s">
        <v>134</v>
      </c>
      <c r="B12" s="19" t="n">
        <f aca="false">B8+B10+B11</f>
        <v>16.56</v>
      </c>
      <c r="C12" s="19" t="n">
        <f aca="false">C8+C10+C11</f>
        <v>32.292</v>
      </c>
      <c r="D12" s="19" t="n">
        <f aca="false">D8+D10+D11</f>
        <v>48.9762</v>
      </c>
      <c r="E12" s="19" t="n">
        <f aca="false">E8+E10+E11</f>
        <v>144.21685</v>
      </c>
      <c r="F12" s="19" t="n">
        <f aca="false">F8+F10+F11</f>
        <v>240.5979685</v>
      </c>
      <c r="G12" s="19" t="n">
        <f aca="false">G8+G10+G11</f>
        <v>340.052400325</v>
      </c>
      <c r="H12" s="19" t="n">
        <f aca="false">H8+H10+H11</f>
        <v>444.85651325125</v>
      </c>
      <c r="I12" s="19" t="n">
        <f aca="false">I8+I10+I11</f>
        <v>557.803153925313</v>
      </c>
      <c r="J12" s="19" t="n">
        <f aca="false">J8+J10+J11</f>
        <v>682.402538562653</v>
      </c>
      <c r="K12" s="19" t="n">
        <f aca="false">K8+K10+K11</f>
        <v>823.127821551661</v>
      </c>
      <c r="L12" s="19" t="n">
        <f aca="false">L8+L10+L11</f>
        <v>985.724181904817</v>
      </c>
      <c r="M12" s="19" t="n">
        <f aca="false">M8+M10+M11</f>
        <v>1177.60401746918</v>
      </c>
      <c r="N12" s="20" t="n">
        <f aca="false">SUM(B12:M12)</f>
        <v>5494.21364548988</v>
      </c>
    </row>
    <row r="13" customFormat="false" ht="15" hidden="false" customHeight="false" outlineLevel="0" collapsed="false">
      <c r="A13" s="15" t="s">
        <v>135</v>
      </c>
      <c r="B13" s="19" t="n">
        <f aca="false">(B8+B10)*Assumptions!$E$21</f>
        <v>0.54</v>
      </c>
      <c r="C13" s="19" t="n">
        <f aca="false">(C8+C10)*Assumptions!$E$21</f>
        <v>1.053</v>
      </c>
      <c r="D13" s="19" t="n">
        <f aca="false">(D8+D10)*Assumptions!$E$21</f>
        <v>1.59705</v>
      </c>
      <c r="E13" s="19" t="n">
        <f aca="false">(E8+E10)*Assumptions!$E$21</f>
        <v>6.0244625</v>
      </c>
      <c r="F13" s="19" t="n">
        <f aca="false">(F8+F10)*Assumptions!$E$21</f>
        <v>10.436194625</v>
      </c>
      <c r="G13" s="19" t="n">
        <f aca="false">(G8+G10)*Assumptions!$E$21</f>
        <v>14.89738870625</v>
      </c>
      <c r="H13" s="19" t="n">
        <f aca="false">(H8+H10)*Assumptions!$E$21</f>
        <v>19.4843043190625</v>
      </c>
      <c r="I13" s="19" t="n">
        <f aca="false">(I8+I10)*Assumptions!$E$21</f>
        <v>24.2899615333906</v>
      </c>
      <c r="J13" s="19" t="n">
        <f aca="false">(J8+J10)*Assumptions!$E$21</f>
        <v>29.4306949457839</v>
      </c>
      <c r="K13" s="19" t="n">
        <f aca="false">(K8+K10)*Assumptions!$E$21</f>
        <v>35.0541644696323</v>
      </c>
      <c r="L13" s="19" t="n">
        <f aca="false">(L8+L10)*Assumptions!$E$21</f>
        <v>41.3494372348217</v>
      </c>
      <c r="M13" s="19" t="n">
        <f aca="false">(M8+M10)*Assumptions!$E$21</f>
        <v>48.55987722936</v>
      </c>
      <c r="N13" s="20" t="n">
        <f aca="false">SUM(B13:M13)</f>
        <v>232.716535563301</v>
      </c>
    </row>
    <row r="14" customFormat="false" ht="15" hidden="false" customHeight="false" outlineLevel="0" collapsed="false">
      <c r="A14" s="15" t="s">
        <v>136</v>
      </c>
      <c r="B14" s="19" t="n">
        <f aca="false">B6*Assumptions!$E$15+B9*Assumptions!$E$16</f>
        <v>14.4</v>
      </c>
      <c r="C14" s="19" t="n">
        <f aca="false">C6*Assumptions!$E$15+C9*Assumptions!$E$16</f>
        <v>28.08</v>
      </c>
      <c r="D14" s="19" t="n">
        <f aca="false">D6*Assumptions!$E$15+D9*Assumptions!$E$16</f>
        <v>42.588</v>
      </c>
      <c r="E14" s="19" t="n">
        <f aca="false">E6*Assumptions!$E$15+E9*Assumptions!$E$16</f>
        <v>65.319</v>
      </c>
      <c r="F14" s="19" t="n">
        <f aca="false">F6*Assumptions!$E$15+F9*Assumptions!$E$16</f>
        <v>91.44519</v>
      </c>
      <c r="G14" s="19" t="n">
        <f aca="false">G6*Assumptions!$E$15+G9*Assumptions!$E$16</f>
        <v>122.5511655</v>
      </c>
      <c r="H14" s="19" t="n">
        <f aca="false">H6*Assumptions!$E$15+H9*Assumptions!$E$16</f>
        <v>160.524083175</v>
      </c>
      <c r="I14" s="19" t="n">
        <f aca="false">I6*Assumptions!$E$15+I9*Assumptions!$E$16</f>
        <v>207.70390350375</v>
      </c>
      <c r="J14" s="19" t="n">
        <f aca="false">J6*Assumptions!$E$15+J9*Assumptions!$E$16</f>
        <v>267.057930663038</v>
      </c>
      <c r="K14" s="19" t="n">
        <f aca="false">K6*Assumptions!$E$15+K9*Assumptions!$E$16</f>
        <v>342.39420868131</v>
      </c>
      <c r="L14" s="19" t="n">
        <f aca="false">L6*Assumptions!$E$15+L9*Assumptions!$E$16</f>
        <v>438.630156173382</v>
      </c>
      <c r="M14" s="19" t="n">
        <f aca="false">M6*Assumptions!$E$15+M9*Assumptions!$E$16</f>
        <v>562.136082831278</v>
      </c>
      <c r="N14" s="20" t="n">
        <f aca="false">SUM(B14:M14)</f>
        <v>2342.82972052776</v>
      </c>
    </row>
    <row r="15" customFormat="false" ht="15" hidden="false" customHeight="false" outlineLevel="0" collapsed="false">
      <c r="A15" s="15" t="s">
        <v>137</v>
      </c>
      <c r="B15" s="19" t="n">
        <f aca="false">Assumptions!$E$17+Assumptions!$E$18/12+Assumptions!$E$19</f>
        <v>11.6666666666667</v>
      </c>
      <c r="C15" s="19" t="n">
        <f aca="false">Assumptions!$E$17+Assumptions!$E$18/12+Assumptions!$E$19</f>
        <v>11.6666666666667</v>
      </c>
      <c r="D15" s="19" t="n">
        <f aca="false">Assumptions!$E$17+Assumptions!$E$18/12+Assumptions!$E$19</f>
        <v>11.6666666666667</v>
      </c>
      <c r="E15" s="19" t="n">
        <f aca="false">Assumptions!$E$17+Assumptions!$E$18/12+Assumptions!$E$19</f>
        <v>11.6666666666667</v>
      </c>
      <c r="F15" s="19" t="n">
        <f aca="false">Assumptions!$E$17+Assumptions!$E$18/12+Assumptions!$E$19</f>
        <v>11.6666666666667</v>
      </c>
      <c r="G15" s="19" t="n">
        <f aca="false">Assumptions!$E$17+Assumptions!$E$18/12+Assumptions!$E$19</f>
        <v>11.6666666666667</v>
      </c>
      <c r="H15" s="19" t="n">
        <f aca="false">Assumptions!$E$17+Assumptions!$E$18/12+Assumptions!$E$19</f>
        <v>11.6666666666667</v>
      </c>
      <c r="I15" s="19" t="n">
        <f aca="false">Assumptions!$E$17+Assumptions!$E$18/12+Assumptions!$E$19</f>
        <v>11.6666666666667</v>
      </c>
      <c r="J15" s="19" t="n">
        <f aca="false">Assumptions!$E$17+Assumptions!$E$18/12+Assumptions!$E$19</f>
        <v>11.6666666666667</v>
      </c>
      <c r="K15" s="19" t="n">
        <f aca="false">Assumptions!$E$17+Assumptions!$E$18/12+Assumptions!$E$19</f>
        <v>11.6666666666667</v>
      </c>
      <c r="L15" s="19" t="n">
        <f aca="false">Assumptions!$E$17+Assumptions!$E$18/12+Assumptions!$E$19</f>
        <v>11.6666666666667</v>
      </c>
      <c r="M15" s="19" t="n">
        <f aca="false">Assumptions!$E$17+Assumptions!$E$18/12+Assumptions!$E$19</f>
        <v>11.6666666666667</v>
      </c>
      <c r="N15" s="20" t="n">
        <f aca="false">SUM(B15:M15)</f>
        <v>140</v>
      </c>
    </row>
    <row r="16" customFormat="false" ht="15" hidden="false" customHeight="false" outlineLevel="0" collapsed="false">
      <c r="A16" s="15" t="s">
        <v>138</v>
      </c>
      <c r="B16" s="19" t="n">
        <f aca="false">Assumptions!$E$20</f>
        <v>150</v>
      </c>
      <c r="C16" s="19" t="n">
        <f aca="false">Assumptions!$E$20</f>
        <v>150</v>
      </c>
      <c r="D16" s="19" t="n">
        <f aca="false">Assumptions!$E$20</f>
        <v>150</v>
      </c>
      <c r="E16" s="19" t="n">
        <f aca="false">Assumptions!$E$20</f>
        <v>150</v>
      </c>
      <c r="F16" s="19" t="n">
        <f aca="false">Assumptions!$E$20</f>
        <v>150</v>
      </c>
      <c r="G16" s="19" t="n">
        <f aca="false">Assumptions!$E$20</f>
        <v>150</v>
      </c>
      <c r="H16" s="19" t="n">
        <f aca="false">Assumptions!$E$20</f>
        <v>150</v>
      </c>
      <c r="I16" s="19" t="n">
        <f aca="false">Assumptions!$E$20</f>
        <v>150</v>
      </c>
      <c r="J16" s="19" t="n">
        <f aca="false">Assumptions!$E$20</f>
        <v>150</v>
      </c>
      <c r="K16" s="19" t="n">
        <f aca="false">Assumptions!$E$20</f>
        <v>150</v>
      </c>
      <c r="L16" s="19" t="n">
        <f aca="false">Assumptions!$E$20</f>
        <v>150</v>
      </c>
      <c r="M16" s="19" t="n">
        <f aca="false">Assumptions!$E$20</f>
        <v>150</v>
      </c>
      <c r="N16" s="20" t="n">
        <f aca="false">SUM(B16:M16)</f>
        <v>1800</v>
      </c>
    </row>
    <row r="17" customFormat="false" ht="15" hidden="false" customHeight="false" outlineLevel="0" collapsed="false">
      <c r="A17" s="12" t="s">
        <v>139</v>
      </c>
      <c r="B17" s="19" t="n">
        <f aca="false">SUM(B13:B16)</f>
        <v>176.606666666667</v>
      </c>
      <c r="C17" s="19" t="n">
        <f aca="false">SUM(C13:C16)</f>
        <v>190.799666666667</v>
      </c>
      <c r="D17" s="19" t="n">
        <f aca="false">SUM(D13:D16)</f>
        <v>205.851716666667</v>
      </c>
      <c r="E17" s="19" t="n">
        <f aca="false">SUM(E13:E16)</f>
        <v>233.010129166667</v>
      </c>
      <c r="F17" s="19" t="n">
        <f aca="false">SUM(F13:F16)</f>
        <v>263.548051291667</v>
      </c>
      <c r="G17" s="19" t="n">
        <f aca="false">SUM(G13:G16)</f>
        <v>299.115220872917</v>
      </c>
      <c r="H17" s="19" t="n">
        <f aca="false">SUM(H13:H16)</f>
        <v>341.675054160729</v>
      </c>
      <c r="I17" s="19" t="n">
        <f aca="false">SUM(I13:I16)</f>
        <v>393.660531703807</v>
      </c>
      <c r="J17" s="19" t="n">
        <f aca="false">SUM(J13:J16)</f>
        <v>458.155292275488</v>
      </c>
      <c r="K17" s="19" t="n">
        <f aca="false">SUM(K13:K16)</f>
        <v>539.115039817609</v>
      </c>
      <c r="L17" s="19" t="n">
        <f aca="false">SUM(L13:L16)</f>
        <v>641.646260074871</v>
      </c>
      <c r="M17" s="19" t="n">
        <f aca="false">SUM(M13:M16)</f>
        <v>772.362626727305</v>
      </c>
      <c r="N17" s="20" t="n">
        <f aca="false">SUM(B17:M17)</f>
        <v>4515.54625609106</v>
      </c>
    </row>
    <row r="18" customFormat="false" ht="15" hidden="false" customHeight="false" outlineLevel="0" collapsed="false">
      <c r="A18" s="12" t="s">
        <v>140</v>
      </c>
      <c r="B18" s="19" t="n">
        <f aca="false">B12-B17</f>
        <v>-160.046666666667</v>
      </c>
      <c r="C18" s="19" t="n">
        <f aca="false">C12-C17</f>
        <v>-158.507666666667</v>
      </c>
      <c r="D18" s="19" t="n">
        <f aca="false">D12-D17</f>
        <v>-156.875516666667</v>
      </c>
      <c r="E18" s="19" t="n">
        <f aca="false">E12-E17</f>
        <v>-88.7932791666667</v>
      </c>
      <c r="F18" s="19" t="n">
        <f aca="false">F12-F17</f>
        <v>-22.9500827916667</v>
      </c>
      <c r="G18" s="19" t="n">
        <f aca="false">G12-G17</f>
        <v>40.9371794520833</v>
      </c>
      <c r="H18" s="19" t="n">
        <f aca="false">H12-H17</f>
        <v>103.181459090521</v>
      </c>
      <c r="I18" s="19" t="n">
        <f aca="false">I12-I17</f>
        <v>164.142622221505</v>
      </c>
      <c r="J18" s="19" t="n">
        <f aca="false">J12-J17</f>
        <v>224.247246287165</v>
      </c>
      <c r="K18" s="19" t="n">
        <f aca="false">K12-K17</f>
        <v>284.012781734051</v>
      </c>
      <c r="L18" s="19" t="n">
        <f aca="false">L12-L17</f>
        <v>344.077921829947</v>
      </c>
      <c r="M18" s="19" t="n">
        <f aca="false">M12-M17</f>
        <v>405.241390741875</v>
      </c>
      <c r="N18" s="20" t="n">
        <f aca="false">SUM(B18:M18)</f>
        <v>978.667389398814</v>
      </c>
    </row>
    <row r="19" customFormat="false" ht="15" hidden="false" customHeight="false" outlineLevel="0" collapsed="false">
      <c r="A19" s="15" t="s">
        <v>141</v>
      </c>
      <c r="B19" s="19" t="n">
        <f aca="false">B18</f>
        <v>-160.046666666667</v>
      </c>
      <c r="C19" s="19" t="n">
        <f aca="false">B19+C18</f>
        <v>-318.554333333333</v>
      </c>
      <c r="D19" s="19" t="n">
        <f aca="false">C19+D18</f>
        <v>-475.42985</v>
      </c>
      <c r="E19" s="19" t="n">
        <f aca="false">D19+E18</f>
        <v>-564.223129166667</v>
      </c>
      <c r="F19" s="19" t="n">
        <f aca="false">E19+F18</f>
        <v>-587.173211958333</v>
      </c>
      <c r="G19" s="19" t="n">
        <f aca="false">F19+G18</f>
        <v>-546.23603250625</v>
      </c>
      <c r="H19" s="19" t="n">
        <f aca="false">G19+H18</f>
        <v>-443.054573415729</v>
      </c>
      <c r="I19" s="19" t="n">
        <f aca="false">H19+I18</f>
        <v>-278.911951194224</v>
      </c>
      <c r="J19" s="19" t="n">
        <f aca="false">I19+J18</f>
        <v>-54.6647049070589</v>
      </c>
      <c r="K19" s="19" t="n">
        <f aca="false">J19+K18</f>
        <v>229.348076826992</v>
      </c>
      <c r="L19" s="19" t="n">
        <f aca="false">K19+L18</f>
        <v>573.425998656939</v>
      </c>
      <c r="M19" s="19" t="n">
        <f aca="false">L19+M18</f>
        <v>978.667389398814</v>
      </c>
      <c r="N19" s="20" t="n">
        <f aca="false">M19</f>
        <v>978.667389398814</v>
      </c>
    </row>
    <row r="20" customFormat="false" ht="15" hidden="false" customHeight="false" outlineLevel="0" collapsed="false">
      <c r="A20" s="15" t="s">
        <v>142</v>
      </c>
      <c r="B20" s="19" t="n">
        <f aca="false">IFERROR(B16/B5,0)</f>
        <v>2.08333333333333</v>
      </c>
      <c r="C20" s="19" t="n">
        <f aca="false">IFERROR(C16/C5,0)</f>
        <v>1.6025641025641</v>
      </c>
      <c r="D20" s="19" t="n">
        <f aca="false">IFERROR(D16/D5,0)</f>
        <v>1.232741617357</v>
      </c>
      <c r="E20" s="19" t="n">
        <f aca="false">IFERROR(E16/E5,0)</f>
        <v>0.948262782582309</v>
      </c>
      <c r="F20" s="19" t="n">
        <f aca="false">IFERROR(F16/F5,0)</f>
        <v>0.729432909678699</v>
      </c>
      <c r="G20" s="19" t="n">
        <f aca="false">IFERROR(G16/G5,0)</f>
        <v>0.561102238214384</v>
      </c>
      <c r="H20" s="19" t="n">
        <f aca="false">IFERROR(H16/H5,0)</f>
        <v>0.431617106318757</v>
      </c>
      <c r="I20" s="19" t="n">
        <f aca="false">IFERROR(I16/I5,0)</f>
        <v>0.332013158706736</v>
      </c>
      <c r="J20" s="19" t="n">
        <f aca="false">IFERROR(J16/J5,0)</f>
        <v>0.25539473746672</v>
      </c>
      <c r="K20" s="19" t="n">
        <f aca="false">IFERROR(K16/K5,0)</f>
        <v>0.196457490359015</v>
      </c>
      <c r="L20" s="19" t="n">
        <f aca="false">IFERROR(L16/L5,0)</f>
        <v>0.151121146430012</v>
      </c>
      <c r="M20" s="19" t="n">
        <f aca="false">IFERROR(M16/M5,0)</f>
        <v>0.116247035715394</v>
      </c>
      <c r="N20" s="20" t="n">
        <f aca="false">M20</f>
        <v>0.116247035715394</v>
      </c>
    </row>
    <row r="22" customFormat="false" ht="15" hidden="false" customHeight="false" outlineLevel="0" collapsed="false">
      <c r="A22" s="5" t="s">
        <v>143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0"/>
    <col collapsed="false" customWidth="true" hidden="false" outlineLevel="0" max="4" min="3" style="0" width="70"/>
  </cols>
  <sheetData>
    <row r="1" customFormat="false" ht="17.35" hidden="false" customHeight="false" outlineLevel="0" collapsed="false">
      <c r="A1" s="1" t="s">
        <v>146</v>
      </c>
    </row>
    <row r="3" customFormat="false" ht="15" hidden="false" customHeight="false" outlineLevel="0" collapsed="false">
      <c r="A3" s="2" t="s">
        <v>147</v>
      </c>
      <c r="B3" s="2" t="s">
        <v>148</v>
      </c>
      <c r="C3" s="2" t="s">
        <v>149</v>
      </c>
      <c r="D3" s="2" t="s">
        <v>150</v>
      </c>
    </row>
    <row r="4" customFormat="false" ht="15" hidden="false" customHeight="false" outlineLevel="0" collapsed="false">
      <c r="A4" s="21" t="s">
        <v>151</v>
      </c>
      <c r="B4" s="21" t="s">
        <v>152</v>
      </c>
      <c r="C4" s="21" t="s">
        <v>153</v>
      </c>
      <c r="D4" s="22" t="s">
        <v>154</v>
      </c>
    </row>
    <row r="5" customFormat="false" ht="28.35" hidden="false" customHeight="false" outlineLevel="0" collapsed="false">
      <c r="A5" s="21" t="s">
        <v>155</v>
      </c>
      <c r="B5" s="21" t="s">
        <v>156</v>
      </c>
      <c r="C5" s="21" t="s">
        <v>157</v>
      </c>
      <c r="D5" s="22" t="s">
        <v>158</v>
      </c>
    </row>
    <row r="6" customFormat="false" ht="28.35" hidden="false" customHeight="false" outlineLevel="0" collapsed="false">
      <c r="A6" s="21" t="s">
        <v>159</v>
      </c>
      <c r="B6" s="21" t="s">
        <v>152</v>
      </c>
      <c r="C6" s="21" t="s">
        <v>160</v>
      </c>
      <c r="D6" s="22" t="s">
        <v>161</v>
      </c>
    </row>
    <row r="7" customFormat="false" ht="15" hidden="false" customHeight="false" outlineLevel="0" collapsed="false">
      <c r="A7" s="21" t="s">
        <v>162</v>
      </c>
      <c r="B7" s="21" t="s">
        <v>163</v>
      </c>
      <c r="C7" s="21" t="s">
        <v>164</v>
      </c>
      <c r="D7" s="22" t="s">
        <v>165</v>
      </c>
    </row>
    <row r="8" customFormat="false" ht="15" hidden="false" customHeight="false" outlineLevel="0" collapsed="false">
      <c r="A8" s="21" t="s">
        <v>166</v>
      </c>
      <c r="B8" s="21" t="s">
        <v>152</v>
      </c>
      <c r="C8" s="21" t="s">
        <v>167</v>
      </c>
      <c r="D8" s="22" t="s">
        <v>168</v>
      </c>
    </row>
    <row r="9" customFormat="false" ht="28.35" hidden="false" customHeight="false" outlineLevel="0" collapsed="false">
      <c r="A9" s="21" t="s">
        <v>169</v>
      </c>
      <c r="B9" s="21" t="s">
        <v>170</v>
      </c>
      <c r="C9" s="21" t="s">
        <v>171</v>
      </c>
      <c r="D9" s="22" t="s">
        <v>172</v>
      </c>
    </row>
    <row r="10" customFormat="false" ht="15" hidden="false" customHeight="false" outlineLevel="0" collapsed="false">
      <c r="A10" s="21" t="s">
        <v>173</v>
      </c>
      <c r="B10" s="21" t="s">
        <v>174</v>
      </c>
      <c r="C10" s="21" t="s">
        <v>175</v>
      </c>
      <c r="D10" s="22" t="s">
        <v>176</v>
      </c>
    </row>
    <row r="11" customFormat="false" ht="28.35" hidden="false" customHeight="false" outlineLevel="0" collapsed="false">
      <c r="A11" s="21" t="s">
        <v>177</v>
      </c>
      <c r="B11" s="21" t="s">
        <v>178</v>
      </c>
      <c r="C11" s="21" t="s">
        <v>179</v>
      </c>
      <c r="D11" s="22" t="s">
        <v>180</v>
      </c>
    </row>
    <row r="12" customFormat="false" ht="15" hidden="false" customHeight="false" outlineLevel="0" collapsed="false">
      <c r="A12" s="21" t="s">
        <v>181</v>
      </c>
      <c r="B12" s="21" t="s">
        <v>182</v>
      </c>
      <c r="C12" s="21" t="s">
        <v>183</v>
      </c>
      <c r="D12" s="22" t="s">
        <v>184</v>
      </c>
    </row>
    <row r="13" customFormat="false" ht="15" hidden="false" customHeight="false" outlineLevel="0" collapsed="false">
      <c r="A13" s="21" t="s">
        <v>185</v>
      </c>
      <c r="B13" s="21" t="s">
        <v>186</v>
      </c>
      <c r="C13" s="21" t="s">
        <v>187</v>
      </c>
      <c r="D13" s="22" t="s">
        <v>188</v>
      </c>
    </row>
    <row r="14" customFormat="false" ht="15" hidden="false" customHeight="false" outlineLevel="0" collapsed="false">
      <c r="A14" s="21" t="s">
        <v>189</v>
      </c>
      <c r="B14" s="21" t="s">
        <v>190</v>
      </c>
      <c r="C14" s="21" t="s">
        <v>191</v>
      </c>
      <c r="D14" s="22" t="s">
        <v>192</v>
      </c>
    </row>
    <row r="15" customFormat="false" ht="28.35" hidden="false" customHeight="false" outlineLevel="0" collapsed="false">
      <c r="A15" s="21" t="s">
        <v>193</v>
      </c>
      <c r="B15" s="21" t="s">
        <v>194</v>
      </c>
      <c r="C15" s="21" t="s">
        <v>195</v>
      </c>
      <c r="D15" s="22" t="s">
        <v>196</v>
      </c>
    </row>
    <row r="16" customFormat="false" ht="15" hidden="false" customHeight="false" outlineLevel="0" collapsed="false">
      <c r="A16" s="21" t="s">
        <v>197</v>
      </c>
      <c r="B16" s="21" t="s">
        <v>198</v>
      </c>
      <c r="C16" s="21" t="s">
        <v>199</v>
      </c>
      <c r="D16" s="22" t="s">
        <v>200</v>
      </c>
    </row>
    <row r="17" customFormat="false" ht="15" hidden="false" customHeight="false" outlineLevel="0" collapsed="false">
      <c r="A17" s="21" t="s">
        <v>201</v>
      </c>
      <c r="B17" s="21" t="s">
        <v>202</v>
      </c>
      <c r="C17" s="21" t="s">
        <v>203</v>
      </c>
      <c r="D17" s="22" t="s">
        <v>204</v>
      </c>
    </row>
    <row r="18" customFormat="false" ht="15" hidden="false" customHeight="false" outlineLevel="0" collapsed="false">
      <c r="A18" s="21" t="s">
        <v>205</v>
      </c>
      <c r="B18" s="21" t="s">
        <v>206</v>
      </c>
      <c r="C18" s="21" t="s">
        <v>207</v>
      </c>
      <c r="D18" s="22" t="s">
        <v>208</v>
      </c>
    </row>
    <row r="19" customFormat="false" ht="15" hidden="false" customHeight="false" outlineLevel="0" collapsed="false">
      <c r="A19" s="21" t="s">
        <v>209</v>
      </c>
      <c r="B19" s="21" t="s">
        <v>210</v>
      </c>
      <c r="C19" s="21" t="s">
        <v>211</v>
      </c>
      <c r="D19" s="22" t="s">
        <v>212</v>
      </c>
    </row>
    <row r="20" customFormat="false" ht="15" hidden="false" customHeight="false" outlineLevel="0" collapsed="false">
      <c r="A20" s="21" t="s">
        <v>213</v>
      </c>
      <c r="B20" s="21" t="s">
        <v>214</v>
      </c>
      <c r="C20" s="21" t="s">
        <v>215</v>
      </c>
      <c r="D20" s="22" t="s">
        <v>216</v>
      </c>
    </row>
    <row r="21" customFormat="false" ht="15" hidden="false" customHeight="false" outlineLevel="0" collapsed="false">
      <c r="A21" s="21" t="s">
        <v>217</v>
      </c>
      <c r="B21" s="21" t="s">
        <v>198</v>
      </c>
      <c r="C21" s="21" t="s">
        <v>218</v>
      </c>
      <c r="D21" s="22" t="s">
        <v>219</v>
      </c>
    </row>
    <row r="22" customFormat="false" ht="15" hidden="false" customHeight="false" outlineLevel="0" collapsed="false">
      <c r="A22" s="21" t="s">
        <v>220</v>
      </c>
      <c r="B22" s="21" t="s">
        <v>221</v>
      </c>
      <c r="C22" s="21" t="s">
        <v>222</v>
      </c>
      <c r="D22" s="22" t="s">
        <v>223</v>
      </c>
    </row>
    <row r="23" customFormat="false" ht="15" hidden="false" customHeight="false" outlineLevel="0" collapsed="false">
      <c r="A23" s="21" t="s">
        <v>224</v>
      </c>
      <c r="B23" s="21" t="s">
        <v>221</v>
      </c>
      <c r="C23" s="21" t="s">
        <v>225</v>
      </c>
      <c r="D23" s="22" t="s">
        <v>226</v>
      </c>
    </row>
    <row r="24" customFormat="false" ht="15" hidden="false" customHeight="false" outlineLevel="0" collapsed="false">
      <c r="A24" s="21" t="s">
        <v>227</v>
      </c>
      <c r="B24" s="21" t="s">
        <v>228</v>
      </c>
      <c r="C24" s="21" t="s">
        <v>229</v>
      </c>
      <c r="D24" s="22" t="s">
        <v>230</v>
      </c>
    </row>
    <row r="25" customFormat="false" ht="15" hidden="false" customHeight="false" outlineLevel="0" collapsed="false">
      <c r="A25" s="21" t="s">
        <v>231</v>
      </c>
      <c r="B25" s="21" t="s">
        <v>228</v>
      </c>
      <c r="C25" s="21" t="s">
        <v>232</v>
      </c>
      <c r="D25" s="22" t="s">
        <v>233</v>
      </c>
    </row>
    <row r="26" customFormat="false" ht="28.35" hidden="false" customHeight="false" outlineLevel="0" collapsed="false">
      <c r="A26" s="21" t="s">
        <v>234</v>
      </c>
      <c r="B26" s="21" t="s">
        <v>228</v>
      </c>
      <c r="C26" s="21" t="s">
        <v>235</v>
      </c>
      <c r="D26" s="22" t="s">
        <v>236</v>
      </c>
    </row>
    <row r="27" customFormat="false" ht="15" hidden="false" customHeight="false" outlineLevel="0" collapsed="false">
      <c r="A27" s="21" t="s">
        <v>237</v>
      </c>
      <c r="B27" s="21" t="s">
        <v>228</v>
      </c>
      <c r="C27" s="21" t="s">
        <v>238</v>
      </c>
      <c r="D27" s="22" t="s">
        <v>239</v>
      </c>
    </row>
    <row r="28" customFormat="false" ht="15" hidden="false" customHeight="false" outlineLevel="0" collapsed="false">
      <c r="A28" s="21" t="s">
        <v>240</v>
      </c>
      <c r="B28" s="21" t="s">
        <v>241</v>
      </c>
      <c r="C28" s="21" t="s">
        <v>242</v>
      </c>
      <c r="D28" s="22" t="s">
        <v>243</v>
      </c>
    </row>
    <row r="29" customFormat="false" ht="15" hidden="false" customHeight="false" outlineLevel="0" collapsed="false">
      <c r="A29" s="21" t="s">
        <v>244</v>
      </c>
      <c r="B29" s="21" t="s">
        <v>245</v>
      </c>
      <c r="C29" s="21" t="s">
        <v>246</v>
      </c>
      <c r="D29" s="22" t="s">
        <v>247</v>
      </c>
    </row>
    <row r="30" customFormat="false" ht="15" hidden="false" customHeight="false" outlineLevel="0" collapsed="false">
      <c r="A30" s="21" t="s">
        <v>248</v>
      </c>
      <c r="B30" s="21" t="s">
        <v>249</v>
      </c>
      <c r="C30" s="21" t="s">
        <v>250</v>
      </c>
      <c r="D30" s="22" t="s">
        <v>251</v>
      </c>
    </row>
  </sheetData>
  <hyperlinks>
    <hyperlink ref="D4" r:id="rId1" display="https://apps.apple.com/us/app/mixel-cocktail-recipes/id1280464759"/>
    <hyperlink ref="D5" r:id="rId2" display="https://adapty.io/paywall-library/mixel/"/>
    <hyperlink ref="D6" r:id="rId3" display="https://appviewable.com/apps/app-cocktail-party-drink-recipes-ingredient-library/"/>
    <hyperlink ref="D7" r:id="rId4" display="https://apps.apple.com/us/app/highball-by-studio-neat/id973319934"/>
    <hyperlink ref="D8" r:id="rId5" display="https://apps.apple.com/us/app/cocktail-flow-drink-recipes/id486811622"/>
    <hyperlink ref="D9" r:id="rId6" display="https://homebarhero.ai/pricing/"/>
    <hyperlink ref="D10" r:id="rId7" display="https://bottlesnaps.com/"/>
    <hyperlink ref="D11" r:id="rId8" display="https://elixiary.com/pricing"/>
    <hyperlink ref="D12" r:id="rId9" display="https://apps.apple.com/us/app/barshelf-home-bar-ai/id6754469129"/>
    <hyperlink ref="D13" r:id="rId10" display="https://github.com/karlomikus/bar-assistant"/>
    <hyperlink ref="D14" r:id="rId11" display="https://360.barsys.com/"/>
    <hyperlink ref="D15" r:id="rId12" display="https://www.getbackbar.com/pricing"/>
    <hyperlink ref="D16" r:id="rId13" display="https://getpulsesignal.com/pricing/partender"/>
    <hyperlink ref="D17" r:id="rId14" display="https://www.wisk.ai/price"/>
    <hyperlink ref="D18" r:id="rId15" display="https://www.softwareadvice.com/product/452785-BinWise/"/>
    <hyperlink ref="D19" r:id="rId16" display="https://www.sculpturehospitality.com/sculpture-hospitality-pricing"/>
    <hyperlink ref="D20" r:id="rId17" display="https://www.capterra.com/p/167143/Bevager/"/>
    <hyperlink ref="D21" r:id="rId18" display="https://mypouriq.com/blog/pouriq-vs-partender/"/>
    <hyperlink ref="D22" r:id="rId19" display="https://www.baraxis.io/pricing"/>
    <hyperlink ref="D23" r:id="rId20" display="https://www.eventprobartender.com/"/>
    <hyperlink ref="D24" r:id="rId21" display="https://developers.openai.com/api/docs/models/gpt-4o"/>
    <hyperlink ref="D25" r:id="rId22" display="https://developers.openai.com/api/docs/models/gpt-4o-mini"/>
    <hyperlink ref="D26" r:id="rId23" display="https://neon.com/docs/introduction/plans"/>
    <hyperlink ref="D27" r:id="rId24" display="https://cloud.google.com/run/pricing"/>
    <hyperlink ref="D28" r:id="rId25" display="https://www.upcitemdb.com/wp/docs/main/development/plan/"/>
    <hyperlink ref="D29" r:id="rId26" display="https://stripe.com/pricing"/>
    <hyperlink ref="D30" r:id="rId27" display="https://developer.apple.com/app-store/small-business-program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6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4"/>
  </cols>
  <sheetData>
    <row r="1" customFormat="false" ht="17.35" hidden="false" customHeight="false" outlineLevel="0" collapsed="false">
      <c r="A1" s="1" t="s">
        <v>252</v>
      </c>
    </row>
    <row r="3" customFormat="false" ht="15" hidden="false" customHeight="false" outlineLevel="0" collapsed="false">
      <c r="A3" s="2" t="s">
        <v>253</v>
      </c>
      <c r="B3" s="2" t="s">
        <v>8</v>
      </c>
      <c r="C3" s="2" t="s">
        <v>254</v>
      </c>
      <c r="D3" s="2" t="s">
        <v>255</v>
      </c>
      <c r="E3" s="2" t="s">
        <v>256</v>
      </c>
      <c r="F3" s="2" t="s">
        <v>257</v>
      </c>
    </row>
    <row r="4" customFormat="false" ht="15" hidden="false" customHeight="false" outlineLevel="0" collapsed="false">
      <c r="A4" s="0" t="s">
        <v>258</v>
      </c>
      <c r="B4" s="0" t="s">
        <v>259</v>
      </c>
      <c r="C4" s="0" t="n">
        <v>25</v>
      </c>
      <c r="D4" s="0" t="n">
        <v>10</v>
      </c>
      <c r="E4" s="10"/>
    </row>
    <row r="5" customFormat="false" ht="15" hidden="false" customHeight="false" outlineLevel="0" collapsed="false">
      <c r="A5" s="0" t="s">
        <v>260</v>
      </c>
      <c r="B5" s="0" t="s">
        <v>261</v>
      </c>
      <c r="C5" s="0" t="n">
        <v>10</v>
      </c>
      <c r="D5" s="0" t="n">
        <v>3</v>
      </c>
      <c r="E5" s="10"/>
    </row>
    <row r="6" customFormat="false" ht="15" hidden="false" customHeight="false" outlineLevel="0" collapsed="false">
      <c r="A6" s="0" t="s">
        <v>262</v>
      </c>
      <c r="B6" s="0" t="s">
        <v>263</v>
      </c>
      <c r="C6" s="0" t="s">
        <v>264</v>
      </c>
      <c r="D6" s="0" t="s">
        <v>265</v>
      </c>
      <c r="E6" s="10"/>
    </row>
    <row r="7" customFormat="false" ht="15" hidden="false" customHeight="false" outlineLevel="0" collapsed="false">
      <c r="A7" s="0" t="s">
        <v>266</v>
      </c>
      <c r="B7" s="0" t="s">
        <v>267</v>
      </c>
      <c r="C7" s="0" t="n">
        <v>10</v>
      </c>
      <c r="D7" s="0" t="n">
        <v>3</v>
      </c>
      <c r="E7" s="10"/>
    </row>
    <row r="8" customFormat="false" ht="15" hidden="false" customHeight="false" outlineLevel="0" collapsed="false">
      <c r="A8" s="0" t="s">
        <v>268</v>
      </c>
      <c r="B8" s="0" t="s">
        <v>269</v>
      </c>
      <c r="C8" s="0" t="n">
        <v>3</v>
      </c>
      <c r="D8" s="0" t="n">
        <v>1</v>
      </c>
      <c r="E8" s="10"/>
    </row>
    <row r="9" customFormat="false" ht="15" hidden="false" customHeight="false" outlineLevel="0" collapsed="false">
      <c r="A9" s="0" t="s">
        <v>270</v>
      </c>
      <c r="B9" s="0" t="s">
        <v>271</v>
      </c>
      <c r="C9" s="0" t="s">
        <v>272</v>
      </c>
      <c r="D9" s="0" t="s">
        <v>273</v>
      </c>
      <c r="E9" s="10"/>
    </row>
    <row r="10" customFormat="false" ht="15" hidden="false" customHeight="false" outlineLevel="0" collapsed="false">
      <c r="A10" s="0" t="s">
        <v>274</v>
      </c>
      <c r="B10" s="0" t="s">
        <v>275</v>
      </c>
      <c r="C10" s="0" t="s">
        <v>276</v>
      </c>
      <c r="D10" s="0" t="s">
        <v>277</v>
      </c>
      <c r="E10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2026-10-12T23:23:04Z</dcterms:created>
  <dc:creator>openpyxl</dc:creator>
  <dc:description/>
  <dc:language>en-US</dc:language>
  <cp:lastModifiedBy/>
  <dcterms:modified xsi:type="dcterms:W3CDTF">2026-10-12T23:23:04Z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